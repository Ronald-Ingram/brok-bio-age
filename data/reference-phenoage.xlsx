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ThisNextX" sheetId="1" r:id="rId4"/>
    <sheet state="visible" name="20260630(RI)" sheetId="2" r:id="rId5"/>
    <sheet state="visible" name="20251230(RI)" sheetId="3" r:id="rId6"/>
    <sheet state="visible" name="20251015(Comp2)" sheetId="4" r:id="rId7"/>
    <sheet state="visible" name="20251015(Comp1)" sheetId="5" r:id="rId8"/>
    <sheet state="visible" name="20251124(RI) (2)" sheetId="6" r:id="rId9"/>
    <sheet state="visible" name="20251015(RI)" sheetId="7" r:id="rId10"/>
    <sheet state="visible" name="20250622(RI)" sheetId="8" r:id="rId11"/>
    <sheet state="visible" name="20250205(RI)" sheetId="9" r:id="rId12"/>
    <sheet state="visible" name="20240313(RI)" sheetId="10" r:id="rId13"/>
    <sheet state="visible" name="Q Worksheet" sheetId="11" r:id="rId14"/>
    <sheet state="visible" name="20240103(RI)" sheetId="12" r:id="rId15"/>
    <sheet state="visible" name="10.2023(RI)" sheetId="13" r:id="rId16"/>
    <sheet state="visible" name="8.2023(RI)" sheetId="14" r:id="rId17"/>
    <sheet state="visible" name="KIP List" sheetId="15" r:id="rId18"/>
    <sheet state="visible" name="Sheet1" sheetId="16" r:id="rId19"/>
  </sheets>
  <definedNames/>
  <calcPr/>
  <extLst>
    <ext uri="GoogleSheetsCustomDataVersion2">
      <go:sheetsCustomData xmlns:go="http://customooxmlschemas.google.com/" r:id="rId20" roundtripDataChecksum="CyIZwXWSHw1uE3WVfK4xRZKycinn0qNBWE+L5JKf9S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ID#AAAByjGMG-k
tc={44EAD806-142D-4862-9C97-EC2F22C8603C}    (2026-01-14 17:49:36)
[Threaded comment]
Your version of Excel allows you to read this threaded comment; however, any edits to it will get removed if the file is opened in a newer version of Excel. Learn more: https://go.microsoft.com/fwlink/?linkid=870924
Comment:
    This was a guess. It was actually much higher than 2/5/2025</t>
      </text>
    </comment>
  </commentList>
  <extLst>
    <ext uri="GoogleSheetsCustomDataVersion2">
      <go:sheetsCustomData xmlns:go="http://customooxmlschemas.google.com/" r:id="rId1" roundtripDataSignature="AMtx7mjH1t5Zz5BZvDlISoqCN62xFyg7wQ=="/>
    </ext>
  </extLst>
</comments>
</file>

<file path=xl/sharedStrings.xml><?xml version="1.0" encoding="utf-8"?>
<sst xmlns="http://schemas.openxmlformats.org/spreadsheetml/2006/main" count="2720" uniqueCount="628">
  <si>
    <t>A spreadsheet to calculate Mortality Score and Phenotypic Age (apparent biological age as implied by blood variables) and other measures</t>
  </si>
  <si>
    <r>
      <rPr>
        <rFont val="Arial"/>
        <b/>
        <i/>
        <color theme="1"/>
        <sz val="10.0"/>
      </rPr>
      <t xml:space="preserve">from CBC and CRP.  </t>
    </r>
    <r>
      <rPr>
        <rFont val="Arial"/>
        <b/>
        <i val="0"/>
        <color theme="1"/>
        <sz val="10.0"/>
      </rPr>
      <t>Original Author: John G. Cramer</t>
    </r>
  </si>
  <si>
    <t>Refs:  "An epigenetic biomarker of aging for lifespan and healthspan", Aging (Albany NY) 10(4)  573-591 (2018 Apr 18).</t>
  </si>
  <si>
    <t>https://www.ncbi.nlm.nih.gov/pmc/articles/PMC5940111/</t>
  </si>
  <si>
    <t>This has enhancements by Johnny Adams (949) 922-9786 JAdams@grg.org.  Version 20220225</t>
  </si>
  <si>
    <t>Download John Cramer's original version here:</t>
  </si>
  <si>
    <t>https://www.dropbox.com/s/8wj94be28lt9k7q/DNAmPhenoAge_gen.xls</t>
  </si>
  <si>
    <t xml:space="preserve">Online version: </t>
  </si>
  <si>
    <t>https://agingmetrics.org/CalculatePhenAgeResp.aspx</t>
  </si>
  <si>
    <t>Contact me for a no-cost account so you can manage your biomarker data</t>
  </si>
  <si>
    <t>https://agingmetrics.org/ADAMS/</t>
  </si>
  <si>
    <r>
      <rPr>
        <rFont val="Arial"/>
        <b/>
        <i/>
        <color rgb="FFC00000"/>
        <sz val="11.0"/>
      </rPr>
      <t xml:space="preserve">ENTER YOUR OWN DATA IN ROW labeled </t>
    </r>
    <r>
      <rPr>
        <rFont val="Arial"/>
        <b/>
        <i val="0"/>
        <color rgb="FF33CCCC"/>
        <sz val="11.0"/>
      </rPr>
      <t>Input</t>
    </r>
    <r>
      <rPr>
        <rFont val="Arial"/>
        <b/>
        <i/>
        <color rgb="FF993300"/>
        <sz val="11.0"/>
      </rPr>
      <t xml:space="preserve"> -- "values of 10, 1/1/XXXX in </t>
    </r>
    <r>
      <rPr>
        <rFont val="Arial"/>
        <b/>
        <i/>
        <color rgb="FF33CCCC"/>
        <sz val="11.0"/>
      </rPr>
      <t>Date of Birth</t>
    </r>
    <r>
      <rPr>
        <rFont val="Arial"/>
        <b/>
        <i/>
        <color rgb="FF993300"/>
        <sz val="11.0"/>
      </rPr>
      <t xml:space="preserve"> and </t>
    </r>
    <r>
      <rPr>
        <rFont val="Arial"/>
        <b/>
        <i/>
        <color rgb="FF33CCCC"/>
        <sz val="11.0"/>
      </rPr>
      <t>Date of Test</t>
    </r>
    <r>
      <rPr>
        <rFont val="Arial"/>
        <b/>
        <i/>
        <color rgb="FF993300"/>
        <sz val="11.0"/>
      </rPr>
      <t xml:space="preserve"> are placeholders"</t>
    </r>
  </si>
  <si>
    <t>Def.</t>
  </si>
  <si>
    <t>Albumin</t>
  </si>
  <si>
    <t>Creatinine</t>
  </si>
  <si>
    <t xml:space="preserve"> Glucose</t>
  </si>
  <si>
    <t xml:space="preserve"> C-reac Protein</t>
  </si>
  <si>
    <t>Lymphs (Lympocyte)</t>
  </si>
  <si>
    <t>MCV (Mean Cell Volume)</t>
  </si>
  <si>
    <t>RDW (Red Cell Dist Width)</t>
  </si>
  <si>
    <t xml:space="preserve"> Alkaline Phosphatase</t>
  </si>
  <si>
    <t>WBC (White Blood Cells)</t>
  </si>
  <si>
    <t xml:space="preserve"> Age</t>
  </si>
  <si>
    <t>Sample Subject</t>
  </si>
  <si>
    <t>Input Subject's Date of Birth:</t>
  </si>
  <si>
    <t>Input Subject's Date of Test:</t>
  </si>
  <si>
    <t>↑ or ↓ better</t>
  </si>
  <si>
    <t>↑</t>
  </si>
  <si>
    <t>↓</t>
  </si>
  <si>
    <t>Input</t>
  </si>
  <si>
    <t>Units</t>
  </si>
  <si>
    <t>g/dL</t>
  </si>
  <si>
    <t>mg/dL</t>
  </si>
  <si>
    <t>mg/L</t>
  </si>
  <si>
    <t xml:space="preserve"> %</t>
  </si>
  <si>
    <t xml:space="preserve"> fL</t>
  </si>
  <si>
    <t xml:space="preserve"> U/L</t>
  </si>
  <si>
    <r>
      <rPr>
        <rFont val="Arial"/>
        <color theme="1"/>
        <sz val="10.0"/>
      </rPr>
      <t>10^3 cells/</t>
    </r>
    <r>
      <rPr>
        <rFont val="Symbol"/>
        <color theme="1"/>
        <sz val="10.0"/>
      </rPr>
      <t>m</t>
    </r>
    <r>
      <rPr>
        <rFont val="Arial"/>
        <color theme="1"/>
        <sz val="10.0"/>
      </rPr>
      <t>L</t>
    </r>
  </si>
  <si>
    <t xml:space="preserve"> years</t>
  </si>
  <si>
    <t>Conv</t>
  </si>
  <si>
    <t>cInput</t>
  </si>
  <si>
    <t xml:space="preserve"> cUnits</t>
  </si>
  <si>
    <t>g/L</t>
  </si>
  <si>
    <r>
      <rPr>
        <rFont val="Noto Sans Symbols"/>
        <color theme="1"/>
        <sz val="10.0"/>
      </rPr>
      <t>m</t>
    </r>
    <r>
      <rPr>
        <rFont val="Arial"/>
        <color theme="1"/>
        <sz val="10.0"/>
      </rPr>
      <t>mol/L</t>
    </r>
  </si>
  <si>
    <t>mmol/L</t>
  </si>
  <si>
    <t>Ln(mg/dL)</t>
  </si>
  <si>
    <r>
      <rPr>
        <rFont val="Arial"/>
        <color theme="1"/>
        <sz val="10.0"/>
      </rPr>
      <t>10^3 cells/</t>
    </r>
    <r>
      <rPr>
        <rFont val="Symbol"/>
        <color theme="1"/>
        <sz val="10.0"/>
      </rPr>
      <t>m</t>
    </r>
    <r>
      <rPr>
        <rFont val="Arial"/>
        <color theme="1"/>
        <sz val="10.0"/>
      </rPr>
      <t>L</t>
    </r>
  </si>
  <si>
    <t>Wts</t>
  </si>
  <si>
    <t>Terms</t>
  </si>
  <si>
    <t>Calculation:</t>
  </si>
  <si>
    <t>t</t>
  </si>
  <si>
    <t>years</t>
  </si>
  <si>
    <t>months</t>
  </si>
  <si>
    <t>g</t>
  </si>
  <si>
    <t>b0</t>
  </si>
  <si>
    <t>LinComb</t>
  </si>
  <si>
    <t>MortScore</t>
  </si>
  <si>
    <t>Ptypic Age</t>
  </si>
  <si>
    <t>est. DNAm Age</t>
  </si>
  <si>
    <t>est. D MScore</t>
  </si>
  <si>
    <t>Scroll down for information ↓</t>
  </si>
  <si>
    <t>Results</t>
  </si>
  <si>
    <t>Diff chronological age vs calculated</t>
  </si>
  <si>
    <t>Note re. ↑ or ↓ better -- values are also weighted so changes are not proportional</t>
  </si>
  <si>
    <t>LinComb = linear combination of variables times weights that it the final input that generates the mortality scores and ages.</t>
  </si>
  <si>
    <r>
      <rPr>
        <rFont val="Arial"/>
        <color theme="1"/>
        <sz val="10.0"/>
      </rPr>
      <t xml:space="preserve">MortScore = </t>
    </r>
    <r>
      <rPr>
        <rFont val="Arial"/>
        <color rgb="FF333333"/>
        <sz val="10.0"/>
      </rPr>
      <t>Mortality Score (probability of death in the next ten years)</t>
    </r>
  </si>
  <si>
    <r>
      <rPr>
        <rFont val="Arial"/>
        <color theme="1"/>
        <sz val="10.0"/>
      </rPr>
      <t xml:space="preserve">Ptypic Age = </t>
    </r>
    <r>
      <rPr>
        <rFont val="Arial"/>
        <color rgb="FF333333"/>
        <sz val="10.0"/>
      </rPr>
      <t>Phenotypic Age, i.e., your apparent biological age as implied by your blood variables.  JA: calculated from blood variables after statistically analyzing them against research data and applying weights.</t>
    </r>
  </si>
  <si>
    <t>est. DNAm Age = apparent DNA methylation age</t>
  </si>
  <si>
    <t>est. D MScore = revised estimate of probability of death in 10 years, based on the estimated DNAm age.</t>
  </si>
  <si>
    <t>https://joshmitteldorf.scienceblog.com/2019/02/25/progress-in-methylation-based-aging-clocks/</t>
  </si>
  <si>
    <t>Morgan Levine, working with Horvath at UCLA, developed a second-generation clock last year based on mortality and morbidity data as well as chronological age.  The Levine clock was optimized with hindsight, factoring in age-related disease that occurred years after the blood was sampled.</t>
  </si>
  <si>
    <t>Levine and her team worked in two stages.  First, they developed a measure they call “phenotypic age” which includes age itself plus 9 modifiers that contribute to mortality risk.</t>
  </si>
  <si>
    <r>
      <rPr>
        <rFont val="Arial"/>
        <b/>
        <color rgb="FF373737"/>
        <sz val="11.0"/>
      </rPr>
      <t>Albumin: </t>
    </r>
    <r>
      <rPr>
        <rFont val="Arial"/>
        <b val="0"/>
        <color rgb="FF333333"/>
        <sz val="11.0"/>
      </rPr>
      <t>dissolved proteins in the plasma, including hormones and other signal molecules.</t>
    </r>
  </si>
  <si>
    <r>
      <rPr>
        <rFont val="Arial"/>
        <b/>
        <color rgb="FF373737"/>
        <sz val="11.0"/>
      </rPr>
      <t>Creatinine: </t>
    </r>
    <r>
      <rPr>
        <rFont val="Arial"/>
        <b val="0"/>
        <color rgb="FF333333"/>
        <sz val="11.0"/>
      </rPr>
      <t>this is a waste product cleared by the kidneys, thus a high value suggests kidney malfunction; but it can be confounded by exercise, which raises creatinine.</t>
    </r>
  </si>
  <si>
    <r>
      <rPr>
        <rFont val="Arial"/>
        <b/>
        <color rgb="FF373737"/>
        <sz val="11.0"/>
      </rPr>
      <t>Glucose: </t>
    </r>
    <r>
      <rPr>
        <rFont val="Arial"/>
        <b val="0"/>
        <color rgb="FF333333"/>
        <sz val="11.0"/>
      </rPr>
      <t>blood sugar rises with Type 2 diabetes and loss of insulin sensitivity.</t>
    </r>
  </si>
  <si>
    <r>
      <rPr>
        <rFont val="Arial"/>
        <b/>
        <color rgb="FF373737"/>
        <sz val="11.0"/>
      </rPr>
      <t>C-reactive protein: </t>
    </r>
    <r>
      <rPr>
        <rFont val="Arial"/>
        <b val="0"/>
        <color rgb="FF333333"/>
        <sz val="11.0"/>
      </rPr>
      <t>this is a measure of systemic inflammation.</t>
    </r>
  </si>
  <si>
    <r>
      <rPr>
        <rFont val="Arial"/>
        <b/>
        <color rgb="FF373737"/>
        <sz val="11.0"/>
      </rPr>
      <t>Lymphocyte %: </t>
    </r>
    <r>
      <rPr>
        <rFont val="Arial"/>
        <b val="0"/>
        <color rgb="FF333333"/>
        <sz val="11.0"/>
      </rPr>
      <t>the most common types of white blood cells.</t>
    </r>
  </si>
  <si>
    <r>
      <rPr>
        <rFont val="Arial"/>
        <b/>
        <color rgb="FF373737"/>
        <sz val="11.0"/>
      </rPr>
      <t>Mean red cell volume (MCV): </t>
    </r>
    <r>
      <rPr>
        <rFont val="Arial"/>
        <b val="0"/>
        <color rgb="FF333333"/>
        <sz val="11.0"/>
      </rPr>
      <t>the average size of red blood cells</t>
    </r>
  </si>
  <si>
    <r>
      <rPr>
        <rFont val="Arial"/>
        <b/>
        <color rgb="FF373737"/>
        <sz val="11.0"/>
      </rPr>
      <t>Red cell distribution width (RDW): </t>
    </r>
    <r>
      <rPr>
        <rFont val="Arial"/>
        <b val="0"/>
        <color rgb="FF333333"/>
        <sz val="11.0"/>
      </rPr>
      <t>standard deviation of the above</t>
    </r>
  </si>
  <si>
    <r>
      <rPr>
        <rFont val="Arial"/>
        <b/>
        <color rgb="FF373737"/>
        <sz val="11.0"/>
      </rPr>
      <t>Alkaline phosphatase (ALP): </t>
    </r>
    <r>
      <rPr>
        <rFont val="Arial"/>
        <b val="0"/>
        <color rgb="FF333333"/>
        <sz val="11.0"/>
      </rPr>
      <t>this is elevated in liver disease, including cancers and hepatitis.</t>
    </r>
  </si>
  <si>
    <r>
      <rPr>
        <rFont val="Arial"/>
        <b/>
        <color rgb="FF373737"/>
        <sz val="11.0"/>
      </rPr>
      <t>White blood cell count: </t>
    </r>
    <r>
      <rPr>
        <rFont val="Arial"/>
        <b val="0"/>
        <color rgb="FF333333"/>
        <sz val="11.0"/>
      </rPr>
      <t>total white blood cells of all types</t>
    </r>
  </si>
  <si>
    <r>
      <rPr>
        <rFont val="Arial"/>
        <b/>
        <i/>
        <color theme="1"/>
        <sz val="10.0"/>
      </rPr>
      <t xml:space="preserve">                     A spreadsheet to calculate Mortality Score and Phenotypic Age.  </t>
    </r>
    <r>
      <rPr>
        <rFont val="Arial"/>
        <b/>
        <i val="0"/>
        <color theme="1"/>
        <sz val="10.0"/>
      </rPr>
      <t>Author: John G. Cramer</t>
    </r>
  </si>
  <si>
    <t>"A New Epigenetic Clock for Aging and Life Expectancy", Talk by Morgan Levine</t>
  </si>
  <si>
    <t>CRP</t>
  </si>
  <si>
    <t xml:space="preserve"> Lympocyte</t>
  </si>
  <si>
    <t>Mean Cell Volume</t>
  </si>
  <si>
    <t xml:space="preserve"> Red Cell Dist Width</t>
  </si>
  <si>
    <t>White Blood Cells</t>
  </si>
  <si>
    <t>Prior</t>
  </si>
  <si>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</si>
  <si>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</si>
  <si>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</si>
  <si>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t>Change</t>
  </si>
  <si>
    <t>Testosterone:</t>
  </si>
  <si>
    <t>Testosterone prior:</t>
  </si>
  <si>
    <t>1500+</t>
  </si>
  <si>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</si>
  <si>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</si>
  <si>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</si>
  <si>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</si>
  <si>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</si>
  <si>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t>+</t>
  </si>
  <si>
    <t>-</t>
  </si>
  <si>
    <t>=</t>
  </si>
  <si>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</si>
  <si>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</si>
  <si>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</si>
  <si>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t>Estimated MELD:</t>
  </si>
  <si>
    <t>?</t>
  </si>
  <si>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</si>
  <si>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</si>
  <si>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</si>
  <si>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</si>
  <si>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</si>
  <si>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</si>
  <si>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</si>
  <si>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</si>
  <si>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</si>
  <si>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</si>
  <si>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</si>
  <si>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</si>
  <si>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</si>
  <si>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</si>
  <si>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</si>
  <si>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</si>
  <si>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</si>
  <si>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</si>
  <si>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</si>
  <si>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</si>
  <si>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</si>
  <si>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</si>
  <si>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</si>
  <si>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</si>
  <si>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t>Pre-conditions:</t>
  </si>
  <si>
    <t>A, B, AB, O</t>
  </si>
  <si>
    <t>Age (biological)</t>
  </si>
  <si>
    <t>Age (chronoological)</t>
  </si>
  <si>
    <t>Allergies</t>
  </si>
  <si>
    <t>Blood Type</t>
  </si>
  <si>
    <t>Gender</t>
  </si>
  <si>
    <t>Dietary Restrictions</t>
  </si>
  <si>
    <t>Pre-existing Medical Conditions</t>
  </si>
  <si>
    <t>Perscription Medications</t>
  </si>
  <si>
    <t>Weight</t>
  </si>
  <si>
    <t>Flexibility</t>
  </si>
  <si>
    <t>Genetics</t>
  </si>
  <si>
    <t>Goals</t>
  </si>
  <si>
    <t>A</t>
  </si>
  <si>
    <t>Objectives</t>
  </si>
  <si>
    <t>a</t>
  </si>
  <si>
    <t>b</t>
  </si>
  <si>
    <t>c</t>
  </si>
  <si>
    <t>Resources</t>
  </si>
  <si>
    <t>Time</t>
  </si>
  <si>
    <t>Money</t>
  </si>
  <si>
    <t>Current Sources of Money</t>
  </si>
  <si>
    <t>Future Sources of Money</t>
  </si>
  <si>
    <t>Personal Financial Assets</t>
  </si>
  <si>
    <t>Cash</t>
  </si>
  <si>
    <t>Crypto</t>
  </si>
  <si>
    <t>Real Estate</t>
  </si>
  <si>
    <t>Social Assets:</t>
  </si>
  <si>
    <t>Social Assets by Network</t>
  </si>
  <si>
    <t>Social Assets: Followers</t>
  </si>
  <si>
    <t>Social Assets: Customers</t>
  </si>
  <si>
    <t>Business Assets:</t>
  </si>
  <si>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</si>
  <si>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</si>
  <si>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</si>
  <si>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</si>
  <si>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</si>
  <si>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</si>
  <si>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</si>
  <si>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</si>
  <si>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b/>
        <i/>
        <color theme="1"/>
        <sz val="10.0"/>
      </rPr>
      <t xml:space="preserve">                     A spreadsheet to calculate Mortality Score and Phenotypic Age.  </t>
    </r>
    <r>
      <rPr>
        <rFont val="Arial"/>
        <b/>
        <i val="0"/>
        <color theme="1"/>
        <sz val="10.0"/>
      </rPr>
      <t>Author: John G. Cramer</t>
    </r>
  </si>
  <si>
    <r>
      <rPr>
        <rFont val="Arial"/>
        <color theme="1"/>
        <sz val="10.0"/>
      </rPr>
      <t>10^3 cells/</t>
    </r>
    <r>
      <rPr>
        <rFont val="Symbol"/>
        <color theme="1"/>
        <sz val="10.0"/>
      </rPr>
      <t>m</t>
    </r>
    <r>
      <rPr>
        <rFont val="Arial"/>
        <color theme="1"/>
        <sz val="10.0"/>
      </rPr>
      <t>L</t>
    </r>
  </si>
  <si>
    <r>
      <rPr>
        <rFont val="Noto Sans Symbols"/>
        <color theme="1"/>
        <sz val="10.0"/>
      </rPr>
      <t>m</t>
    </r>
    <r>
      <rPr>
        <rFont val="Arial"/>
        <color theme="1"/>
        <sz val="10.0"/>
      </rPr>
      <t>mol/L</t>
    </r>
  </si>
  <si>
    <r>
      <rPr>
        <rFont val="Arial"/>
        <color theme="1"/>
        <sz val="10.0"/>
      </rPr>
      <t>10^3 cells/</t>
    </r>
    <r>
      <rPr>
        <rFont val="Symbol"/>
        <color theme="1"/>
        <sz val="10.0"/>
      </rPr>
      <t>m</t>
    </r>
    <r>
      <rPr>
        <rFont val="Arial"/>
        <color theme="1"/>
        <sz val="10.0"/>
      </rPr>
      <t>L</t>
    </r>
  </si>
  <si>
    <r>
      <rPr>
        <rFont val="Arial"/>
        <color theme="1"/>
        <sz val="10.0"/>
      </rPr>
      <t>10^3 cells/</t>
    </r>
    <r>
      <rPr>
        <rFont val="Symbol"/>
        <color theme="1"/>
        <sz val="10.0"/>
      </rPr>
      <t>m</t>
    </r>
    <r>
      <rPr>
        <rFont val="Arial"/>
        <color theme="1"/>
        <sz val="10.0"/>
      </rPr>
      <t>L</t>
    </r>
  </si>
  <si>
    <t>KIP Shopping List</t>
  </si>
  <si>
    <t>KIP Shopping List: Reference Date: 03/23/2024</t>
  </si>
  <si>
    <t>Ref. #</t>
  </si>
  <si>
    <t>Ingredient / Product</t>
  </si>
  <si>
    <t>Dose</t>
  </si>
  <si>
    <t>Frequency</t>
  </si>
  <si>
    <t>Description</t>
  </si>
  <si>
    <t>Product</t>
  </si>
  <si>
    <t>Brand</t>
  </si>
  <si>
    <t>Delivery</t>
  </si>
  <si>
    <t>Description2</t>
  </si>
  <si>
    <t>Primary</t>
  </si>
  <si>
    <t>Category</t>
  </si>
  <si>
    <t>Est. Cost</t>
  </si>
  <si>
    <t>Order Info.</t>
  </si>
  <si>
    <t>Affiliate Info.</t>
  </si>
  <si>
    <t>Strategic Fit</t>
  </si>
  <si>
    <t>Feasibility</t>
  </si>
  <si>
    <t>Impact</t>
  </si>
  <si>
    <t>Risk</t>
  </si>
  <si>
    <t>Certainty</t>
  </si>
  <si>
    <t>ONE Blend</t>
  </si>
  <si>
    <t>1000mg</t>
  </si>
  <si>
    <t>Multi</t>
  </si>
  <si>
    <t>One</t>
  </si>
  <si>
    <t>QuickSilver</t>
  </si>
  <si>
    <t>Liposomal - spray</t>
  </si>
  <si>
    <t>Contact me: ki.ron@outlook.com</t>
  </si>
  <si>
    <t>Bio PQQ®</t>
  </si>
  <si>
    <t>7mg</t>
  </si>
  <si>
    <t>CoQ10 Ubiquinone</t>
  </si>
  <si>
    <t>30mg</t>
  </si>
  <si>
    <t>Resveratrol</t>
  </si>
  <si>
    <t>15mg</t>
  </si>
  <si>
    <t>DeltaGOLD® Tocotrienols</t>
  </si>
  <si>
    <t>5mg</t>
  </si>
  <si>
    <t>Phosphatidylcholine</t>
  </si>
  <si>
    <t>250mg</t>
  </si>
  <si>
    <t>Acai berry</t>
  </si>
  <si>
    <t>trace</t>
  </si>
  <si>
    <t>Gynostemma rhizome (Jiaogulan)</t>
  </si>
  <si>
    <t>A milligram (mg) is a unit of mass equal to one thousandth of a gram, while a microgram (µg) is one millionth of a gram; hence, 1 mg equals 1000 µg1. In summary:</t>
  </si>
  <si>
    <t>Goji berry</t>
  </si>
  <si>
    <t>Maca root</t>
  </si>
  <si>
    <t>Milligram (mg): 1 mg = 1/1000 g</t>
  </si>
  <si>
    <t>American Ginseng root</t>
  </si>
  <si>
    <t>Microgram (µg): 1 µg = 1/1000000 g</t>
  </si>
  <si>
    <t>Schisandra fruit</t>
  </si>
  <si>
    <t>Chinese Licorice root</t>
  </si>
  <si>
    <t>Rhodiola root</t>
  </si>
  <si>
    <t>Astragalus root</t>
  </si>
  <si>
    <t>Reishi fruiting body</t>
  </si>
  <si>
    <t>Catuaba Bark,</t>
  </si>
  <si>
    <t>Guaran seed</t>
  </si>
  <si>
    <t xml:space="preserve"> Ashwagandha root</t>
  </si>
  <si>
    <t>Ascorbate Sodium, ascorbic acid</t>
  </si>
  <si>
    <t>3+</t>
  </si>
  <si>
    <t>Single</t>
  </si>
  <si>
    <t>Nano-C</t>
  </si>
  <si>
    <t>Live-on Labs</t>
  </si>
  <si>
    <t>Liposomal - gel</t>
  </si>
  <si>
    <t>phosphatidylcholine, choline, phospolipids</t>
  </si>
  <si>
    <t>Magnesium L-Threonate Hydrate (Magtein®)</t>
  </si>
  <si>
    <t>Lipospheric Magnesium L-Threonate</t>
  </si>
  <si>
    <t>CellSential AO</t>
  </si>
  <si>
    <t>Vita-AO</t>
  </si>
  <si>
    <t>Usana</t>
  </si>
  <si>
    <t>Pill</t>
  </si>
  <si>
    <t>BETACAROTENE 1.35 mg</t>
  </si>
  <si>
    <t>1.35 mg</t>
  </si>
  <si>
    <t>RETINYL ACETATE (750 IU: VITAMIN A) 258 µg</t>
  </si>
  <si>
    <t>258 µg</t>
  </si>
  <si>
    <t>VITAMIN C (100 mg) FROM:</t>
  </si>
  <si>
    <t>100 mg</t>
  </si>
  <si>
    <t>CALCIUM ASCORBATE 62.5 mg</t>
  </si>
  <si>
    <t>POTTASIUM ASCORBATE 42.5 mg</t>
  </si>
  <si>
    <t>MAGNESIUM ASCORBATE MONOHYDRATE 18.75 mg</t>
  </si>
  <si>
    <t>ZINC ASCORBATE 1.25 mg</t>
  </si>
  <si>
    <t>VITAMIN D3 (200 IU: CHOLECALCIFEROL) 5 µg</t>
  </si>
  <si>
    <t>VITAMIN E (500 IU: D-ALPHA TOCOPHERYL ACID SUCCINATE) 41.3 mg</t>
  </si>
  <si>
    <t>TOCOPHEROLS CONCENTRATE - MIXED (LOW-ALPHA TYPE) 20 mg</t>
  </si>
  <si>
    <t>VITAMIN K (135 µg) FROM:</t>
  </si>
  <si>
    <t>PHYTOMENADIONE 120 µg</t>
  </si>
  <si>
    <t>MENAQUINONE-7 15 µg</t>
  </si>
  <si>
    <t>y</t>
  </si>
  <si>
    <t>VITAMIN B1 (THIAMINE HYDROCHLORIDE) 7.5 mg</t>
  </si>
  <si>
    <t>VITAMIN B2 (RIBOFLAVINE) 7.5 mg</t>
  </si>
  <si>
    <t>NICOTINAMIDE 7.5 mg</t>
  </si>
  <si>
    <t>VITAMIN B3 (NICOTINIC ACID) 2.5 mg</t>
  </si>
  <si>
    <t>VITAMIN B6 (PYRIDOXINE HYDROCHLORIDE) 8 mg</t>
  </si>
  <si>
    <t>FOLIC ACID 125 µg</t>
  </si>
  <si>
    <t>VITAMIN B12 (CYANOCOBALAMIN) 50 µg</t>
  </si>
  <si>
    <t>BIOTIN 75 µg</t>
  </si>
  <si>
    <t>CALCIUM PANTOTHENATE 25 mg</t>
  </si>
  <si>
    <t>RUTIN 10 mg</t>
  </si>
  <si>
    <t>QUERCETIN DIHYDRATE 15 mg</t>
  </si>
  <si>
    <t>R,S-ALPHA-LIPOIC ACID 25 mg</t>
  </si>
  <si>
    <t>CURCUMIN 3.25 mg</t>
  </si>
  <si>
    <t>HERBAL EXTRACTS CONTAINING:</t>
  </si>
  <si>
    <t>GREEN TEA (CAMELLIA SINENSIS) 17.5 mg</t>
  </si>
  <si>
    <t>EQUIVALENT DRY LEAF 175 mg</t>
  </si>
  <si>
    <t>STANDARDISED TO EPIGALLOCATECHIN-3-0-GALLATE 7 mg</t>
  </si>
  <si>
    <t>OLIVE (OLEA EUROPAEA)* 3.75 mg</t>
  </si>
  <si>
    <t>EQUIVALENT FRESH FRUIT 168.75 mg</t>
  </si>
  <si>
    <t>FALLOPIA JAPONICA 20 mg</t>
  </si>
  <si>
    <t>EQUIVALEN DRY ROOT 1.2 g</t>
  </si>
  <si>
    <t>STANDARDISED TO RESVERATROL 10 mg</t>
  </si>
  <si>
    <t>HESPERIDIN 10 mg</t>
  </si>
  <si>
    <t>INOSITOL 32 mg</t>
  </si>
  <si>
    <t>CHOLINE BITARTRATE 62.5 mg</t>
  </si>
  <si>
    <t>COQ10 (UBIDECARENONE) 3 mg</t>
  </si>
  <si>
    <t>LUTEIN 150 µg</t>
  </si>
  <si>
    <t>LYCOPENE 250µg</t>
  </si>
  <si>
    <t>CellSential Mineral</t>
  </si>
  <si>
    <t>Core Mineral</t>
  </si>
  <si>
    <t>CALCIUM (56.25 mg) FROM:</t>
  </si>
  <si>
    <t>CALCIUM CITRATE HYDRATE (EQUIV 47 mg CALCIUM) 223.81 mg</t>
  </si>
  <si>
    <t>CALCIUM ASCORBATE (EQUIV 9.25 mg CALCIUM) 98.6 mg</t>
  </si>
  <si>
    <t>POTASSIUM IODIDE (EQUIV 75 µg IODINE) 99.3 µg</t>
  </si>
  <si>
    <t>MAGNESIUM (56.25 mg) FROM:</t>
  </si>
  <si>
    <t>MAGNESIUM CITRATE NONAHYDRATE (EQUIV 49 mg MAGNESIUM) 408.33 mg</t>
  </si>
  <si>
    <t>MAGNESIUM ASCORBATE (EQUIV 7.25 mg MAGNESIUM) 118.85 mg</t>
  </si>
  <si>
    <t>ZINC CITRATE DIHYDRATE (EQUIV 5mg ZINC) 15.63 mg</t>
  </si>
  <si>
    <t>SELENOMETHIONINE (EQUIV 37.5 µg SELENIUM) 93.75 µg</t>
  </si>
  <si>
    <t>COPPER GLUCINATE (EQUIV 500 µg COPPER) 3.57 mg</t>
  </si>
  <si>
    <t>MANGANESE GLUCONATE (EQUIV 500 µg MANGANESE) 4.55 mg</t>
  </si>
  <si>
    <t>CHROMIUM (75 µg) FROM:</t>
  </si>
  <si>
    <t>CHROMIC CHLORIDE (EQUIV 62.5 µg CHROMIUM) 320.27 µg</t>
  </si>
  <si>
    <t>CHROMIUM NICOTINATE (EQUIC 12.5 µg CHROMIUM) 100 µg</t>
  </si>
  <si>
    <t>MOLYBDENUM TRIOXIDE (EQUIV 12.5 µg MOLYBDENUM) 18.75 µg</t>
  </si>
  <si>
    <t>CYSTEINE HYDROCHLORIDE MONOHYDRATE 40 mg</t>
  </si>
  <si>
    <t>VITAMIN C (ASCORBIC ACID) FROM: 150 mg</t>
  </si>
  <si>
    <t>CALCIUM ASCORBATE 98.6 mg</t>
  </si>
  <si>
    <t>MAGNESIUM ASCORBATE 118.85 mg</t>
  </si>
  <si>
    <t>MagnaCal-D</t>
  </si>
  <si>
    <t>125 mg</t>
  </si>
  <si>
    <t>&lt; 1</t>
  </si>
  <si>
    <t>Optimizer</t>
  </si>
  <si>
    <t>MagnaCalD</t>
  </si>
  <si>
    <t>CALCIUM (125 mg) FROM:</t>
  </si>
  <si>
    <t>CALCIUM CITRATE HYDRATE (EQUIV 47 mg CALCIUM) 223.85 mg</t>
  </si>
  <si>
    <t>CALCIUM CARBONATE (EQUIV 78 mg CALCIUM) 195 mg</t>
  </si>
  <si>
    <t>MAGNESIUM (125 mg) FROM:</t>
  </si>
  <si>
    <t>MAGNESIUM CITRATE NONAHYDRATE (EQUIV 42 mg MAGNESIUM) 350 mg</t>
  </si>
  <si>
    <t>MAGNESIUM CARBONATE (EQUIV 83 mg MAGNESIUM) 345.83 mg</t>
  </si>
  <si>
    <t>CHOLECALCIFEROL (VITAMIN D3, 100 IU) 2.5 µg</t>
  </si>
  <si>
    <t>Hepa Plus</t>
  </si>
  <si>
    <t>Detox</t>
  </si>
  <si>
    <t>HepaPlus</t>
  </si>
  <si>
    <t>SILYBUM MARIANUM (MILK THISTLE) FRUIT EXTRACT 80 mg</t>
  </si>
  <si>
    <t>EQUIVALENT TO DRY FRUIT 5.6 g</t>
  </si>
  <si>
    <t>STANDARDISED TO SILYMARIN 64 mg</t>
  </si>
  <si>
    <t>OLEA EUROPAEA (OLIVE) FRUIT EXTRACT* 15 mg</t>
  </si>
  <si>
    <t>EQUIVALENT TO FRESH FRUIT 675 mg</t>
  </si>
  <si>
    <t>CAMELLIA SINENSIS (GREEN TEA) LEAF EXTRACT 15 mg</t>
  </si>
  <si>
    <t>EQUIVALENT TO DRY LEAF 420 mg</t>
  </si>
  <si>
    <t>CHOLINE BITARTRATE 125 mg</t>
  </si>
  <si>
    <t>R,S-ALPHA-LIPOIC ACID 67 mg</t>
  </si>
  <si>
    <t>CYSTINE 55 mg</t>
  </si>
  <si>
    <t>BRASSICA OLERACEA VAR. ITALICA (BROCCOLI) FLOWER POWDER 25 mg</t>
  </si>
  <si>
    <t>INOSITOL 25 mg</t>
  </si>
  <si>
    <t>CURCUMIN† 1.35 mg</t>
  </si>
  <si>
    <t>CellGevity</t>
  </si>
  <si>
    <t>Max</t>
  </si>
  <si>
    <t>www.mymaxoffice.com/259425</t>
  </si>
  <si>
    <t>Vitamin C (as calcium ascorbate USP) 42.5 mg 71%</t>
  </si>
  <si>
    <t>Selenium (as selenomethionine) 12.5 mcg 18%</t>
  </si>
  <si>
    <t>RiboCeine® (D-ribose-L-cysteine) 125 mg</t>
  </si>
  <si>
    <t>Proprietary Blend: 580 mg</t>
  </si>
  <si>
    <t>Cordyceps</t>
  </si>
  <si>
    <t>Curcumin (Meriva)</t>
  </si>
  <si>
    <t xml:space="preserve">Resveratrol </t>
  </si>
  <si>
    <t>Alpha Lipoic Acid</t>
  </si>
  <si>
    <t>Grape Seed Extract</t>
  </si>
  <si>
    <t>Quercetin</t>
  </si>
  <si>
    <t>Milk Thistle Seed Extract (Silybum Marianum),</t>
  </si>
  <si>
    <t>Broccoli Seed Extract</t>
  </si>
  <si>
    <t>Aloe Leaf</t>
  </si>
  <si>
    <t>BioPerine</t>
  </si>
  <si>
    <t>Max 3-5-7</t>
  </si>
  <si>
    <t>Lipid</t>
  </si>
  <si>
    <t>MAX3-5-7</t>
  </si>
  <si>
    <t>Oil (pill form)</t>
  </si>
  <si>
    <t>Proprietary Blend: 1218 mg</t>
  </si>
  <si>
    <t>Black Raspberry Seed Oil (Omega 3 - Linolenic Acid)</t>
  </si>
  <si>
    <t>Pomegranate Seed Oil (Omega 5)</t>
  </si>
  <si>
    <t>Pollock Fish Oil Omega 7 (Palmitoleic Acid</t>
  </si>
  <si>
    <t>Acrtic Cod Oil</t>
  </si>
  <si>
    <t>187 mg</t>
  </si>
  <si>
    <t>Docosahexaenoic Acid</t>
  </si>
  <si>
    <t>73 mg</t>
  </si>
  <si>
    <t>Eicosapentaenoic Acid</t>
  </si>
  <si>
    <t>Tocopherol</t>
  </si>
  <si>
    <t>Sunflower oil</t>
  </si>
  <si>
    <t>Sunflower lecithin</t>
  </si>
  <si>
    <t>Ascorbyl Palmitate</t>
  </si>
  <si>
    <t>Omega 3 vegan</t>
  </si>
  <si>
    <t>Omega 3 Vegan</t>
  </si>
  <si>
    <t>Biogena</t>
  </si>
  <si>
    <t>Oil from microalgae Schizochytrium sp. 3000 mg -</t>
  </si>
  <si>
    <t>1000 mg</t>
  </si>
  <si>
    <t>Vegan</t>
  </si>
  <si>
    <t xml:space="preserve"> containing: docosahexaenoic acid (DHA) 900 mg -</t>
  </si>
  <si>
    <t xml:space="preserve"> containing: eicosapentaenoic acid (EPA) 450 mg -</t>
  </si>
  <si>
    <t>Annato Max Delta Gold</t>
  </si>
  <si>
    <t>Annatto Max</t>
  </si>
  <si>
    <t>Sunergetic</t>
  </si>
  <si>
    <t>Vitamin E Tocotrienols From Annato Plant</t>
  </si>
  <si>
    <t>300 mg</t>
  </si>
  <si>
    <t>Delta-isomer (90%)</t>
  </si>
  <si>
    <t>Gamma-isomer (10%)</t>
  </si>
  <si>
    <t>Geranylgeraniol (GG Gold)</t>
  </si>
  <si>
    <t>152.5 mg</t>
  </si>
  <si>
    <t>trans-geranylgeraniol from Annato Seed</t>
  </si>
  <si>
    <t>150 mg</t>
  </si>
  <si>
    <t>Vitamin E gamma and delta tocotrienols (Delta Gold)</t>
  </si>
  <si>
    <t>2.5mg</t>
  </si>
  <si>
    <t>Vitamin Code Raw D3</t>
  </si>
  <si>
    <t>50 mcg</t>
  </si>
  <si>
    <t>D3</t>
  </si>
  <si>
    <t>Garden of Life</t>
  </si>
  <si>
    <t xml:space="preserve">Vitamin D (as D3 from culture or saccharomyces servisiae) </t>
  </si>
  <si>
    <t xml:space="preserve">High Omega 9 Cracked Wall Chlorella </t>
  </si>
  <si>
    <t>250 mg</t>
  </si>
  <si>
    <t>Raw organic fruit and vegatable blend</t>
  </si>
  <si>
    <t>Organic Apple (fruit)</t>
  </si>
  <si>
    <t>Organic Beet (root)</t>
  </si>
  <si>
    <t>Organic Broccoli (stalk &amp; flower)</t>
  </si>
  <si>
    <t>Organic Carrot (root)</t>
  </si>
  <si>
    <t>Organic Spinach (leaf)</t>
  </si>
  <si>
    <t>Organic Tomato (fruit)</t>
  </si>
  <si>
    <t>Organic Strawberry (fruit)</t>
  </si>
  <si>
    <t>Organic Tart Cherry (fruit)</t>
  </si>
  <si>
    <t>Organic Green Bell Pepper (fruit)</t>
  </si>
  <si>
    <t>Organic Blackberry (fruit)</t>
  </si>
  <si>
    <t>Organic Brussels Sprout (leaf)</t>
  </si>
  <si>
    <t>Organic Ginger (root)</t>
  </si>
  <si>
    <t>Organic Garlic (bulb)</t>
  </si>
  <si>
    <t>Organic Green Onion (bulb)</t>
  </si>
  <si>
    <t>Organic Blueberry (fruit)</t>
  </si>
  <si>
    <t>Organic Parsley (leaf)</t>
  </si>
  <si>
    <t>Organic Cauliflower (flower &amp; stem)</t>
  </si>
  <si>
    <t>Organic Raspberry (fruit)</t>
  </si>
  <si>
    <t>Organic Red Cabbage (leaf)</t>
  </si>
  <si>
    <t>Organic Kale (leaf)</t>
  </si>
  <si>
    <t>Organic Cucumber (gourd)</t>
  </si>
  <si>
    <t>Organic Celery (stalk)</t>
  </si>
  <si>
    <t>Organic Asparagus (flower &amp; stem)</t>
  </si>
  <si>
    <t>Raw Probiotic &amp; Enzyme Blend:</t>
  </si>
  <si>
    <t>Lipase</t>
  </si>
  <si>
    <t>Protease</t>
  </si>
  <si>
    <t>Aspergillopepsin</t>
  </si>
  <si>
    <t>Beta-Glucanase</t>
  </si>
  <si>
    <t>Cellulase</t>
  </si>
  <si>
    <t>Bromelain</t>
  </si>
  <si>
    <t>Phytase</t>
  </si>
  <si>
    <t>Lactase</t>
  </si>
  <si>
    <t>Papain</t>
  </si>
  <si>
    <t>Peptidase</t>
  </si>
  <si>
    <t>Pectinase</t>
  </si>
  <si>
    <t>Hemicellulase</t>
  </si>
  <si>
    <t>Xylanase</t>
  </si>
  <si>
    <t>Lactobacillus bulgaricus</t>
  </si>
  <si>
    <t>Lactobacillus plantarum (500 Million CFU)</t>
  </si>
  <si>
    <t>Other Ingredients:</t>
  </si>
  <si>
    <t>Vegetable cellulose (capsule)</t>
  </si>
  <si>
    <t>Organic rice (hull)</t>
  </si>
  <si>
    <t>1 mg</t>
  </si>
  <si>
    <t>Folic Acid</t>
  </si>
  <si>
    <t>Vitamin B1</t>
  </si>
  <si>
    <t>B1</t>
  </si>
  <si>
    <t>Gallbladder Formula Extra Strength</t>
  </si>
  <si>
    <t>Digestion</t>
  </si>
  <si>
    <t>Gallbladder Formula</t>
  </si>
  <si>
    <t>Dr. Berg</t>
  </si>
  <si>
    <t>Pancreatin 4X for enzyme support</t>
  </si>
  <si>
    <t>Betaine hydrochloride for stomach acidification</t>
  </si>
  <si>
    <t>200 mg</t>
  </si>
  <si>
    <t>Ox bile extract for healthy digestion</t>
  </si>
  <si>
    <t>Conjugated bile extract</t>
  </si>
  <si>
    <t>50 mg</t>
  </si>
  <si>
    <t>Slippery elm bark</t>
  </si>
  <si>
    <t>20 mg</t>
  </si>
  <si>
    <t>Stone root (Collinsonia root) as a liver decongestant</t>
  </si>
  <si>
    <t>Pepsin 1:3000 for the breakdown of protein</t>
  </si>
  <si>
    <t>30 mg</t>
  </si>
  <si>
    <t>Choline (from choline bitartate)</t>
  </si>
  <si>
    <t>20mg</t>
  </si>
  <si>
    <t>Thyroid Support</t>
  </si>
  <si>
    <t>&lt; 2</t>
  </si>
  <si>
    <t>Gaia Herbs</t>
  </si>
  <si>
    <t>Iodine (from kelp fronds and brown seaweed fronds)</t>
  </si>
  <si>
    <t xml:space="preserve">Ashwagandha </t>
  </si>
  <si>
    <t>40 mg</t>
  </si>
  <si>
    <t>Proprietary Extract Blend From:</t>
  </si>
  <si>
    <t>415 mg</t>
  </si>
  <si>
    <t>Coleus Forskohlii root</t>
  </si>
  <si>
    <t>L-Tyrosine</t>
  </si>
  <si>
    <t>chlorophyll</t>
  </si>
  <si>
    <t>Reacted Iron ** Toxic for most "men" (XX)  - consult your doctor before taking</t>
  </si>
  <si>
    <t>Minerals</t>
  </si>
  <si>
    <t>Iron (reacted)</t>
  </si>
  <si>
    <t>Orthomolecular Products</t>
  </si>
  <si>
    <t>Iron (as Ferrochel® Ferrous Bisglycinate Chelate</t>
  </si>
  <si>
    <t>29 mg</t>
  </si>
  <si>
    <t>Melatonin (Best-Rest Formula)</t>
  </si>
  <si>
    <t>Melatonin</t>
  </si>
  <si>
    <t>Pure Encapsulations</t>
  </si>
  <si>
    <t>Vitamin B6 (as pyridoxal 5’ phosphate): 3.3 mg</t>
  </si>
  <si>
    <t>1.65 mg</t>
  </si>
  <si>
    <t>Melatonin: 1 mg</t>
  </si>
  <si>
    <t>0.5 mg</t>
  </si>
  <si>
    <t>GABA (gamma-aminobutyric acid): 300 mg</t>
  </si>
  <si>
    <t>L-Theanine: 50 mg</t>
  </si>
  <si>
    <t>25 mg</t>
  </si>
  <si>
    <t>Valerian extract (root): 400 mg</t>
  </si>
  <si>
    <t>Lemon balm extract (leaf): 150 mg</t>
  </si>
  <si>
    <t>75 mg</t>
  </si>
  <si>
    <t>Hops extract (aerial parts): 150 mg</t>
  </si>
  <si>
    <t>Passionflower extract (aerial parts): 100 mg</t>
  </si>
  <si>
    <t>Chamomile extract (flower): 100 mg</t>
  </si>
  <si>
    <t>Potassium (Amino acid complex)</t>
  </si>
  <si>
    <t>96 mg</t>
  </si>
  <si>
    <t>Potassium</t>
  </si>
  <si>
    <t>Solaray</t>
  </si>
  <si>
    <t>Glutathione</t>
  </si>
  <si>
    <t>Liposomal Spray</t>
  </si>
  <si>
    <t>Vitamin B12 (methylcobalamin) + phospholipids, Vitamin E Natural Mixed Tocopherols</t>
  </si>
  <si>
    <t>1000 mcg</t>
  </si>
  <si>
    <t>B12</t>
  </si>
  <si>
    <t>Methyl B12</t>
  </si>
  <si>
    <t>NMN (ß-Nicotinamide mononucluotide)</t>
  </si>
  <si>
    <t>50mg</t>
  </si>
  <si>
    <t>NAD+Gold</t>
  </si>
  <si>
    <t>Trimethylglycine (as betaine)</t>
  </si>
  <si>
    <t>Ryze Mushroom Chicory coffee substitute</t>
  </si>
  <si>
    <t>Multi-mushroom</t>
  </si>
  <si>
    <t>Mushroom Chicory</t>
  </si>
  <si>
    <t>Ryze</t>
  </si>
  <si>
    <t>Hot Beverage</t>
  </si>
  <si>
    <t>Chicory</t>
  </si>
  <si>
    <t>Lion’s Mane</t>
  </si>
  <si>
    <t>Reishi</t>
  </si>
  <si>
    <t>Shiitake</t>
  </si>
  <si>
    <t>Turkey Tail</t>
  </si>
  <si>
    <t>King Trumpet</t>
  </si>
  <si>
    <t>Organic MCT Oil</t>
  </si>
  <si>
    <t>Organic Coconut Milk</t>
  </si>
  <si>
    <t>Pure Marine Collagen Peptides</t>
  </si>
  <si>
    <t>5 g</t>
  </si>
  <si>
    <t>Amino Acids</t>
  </si>
  <si>
    <t>Collagen Peptides</t>
  </si>
  <si>
    <t>Hugh &amp; Grace</t>
  </si>
  <si>
    <t>Powder Mix</t>
  </si>
  <si>
    <t>Hydroxyproline (Hypo)</t>
  </si>
  <si>
    <t>Aspartic acid (Asp)</t>
  </si>
  <si>
    <t>Threonine (Thr)</t>
  </si>
  <si>
    <t>Serine (Ser)</t>
  </si>
  <si>
    <t>Glutamic acid (Glu)</t>
  </si>
  <si>
    <t>Proline (Pro)</t>
  </si>
  <si>
    <t>Glycine</t>
  </si>
  <si>
    <t>Alanine</t>
  </si>
  <si>
    <t>Valine</t>
  </si>
  <si>
    <t>Methionine</t>
  </si>
  <si>
    <t>Isoleucine</t>
  </si>
  <si>
    <t>Leucine</t>
  </si>
  <si>
    <t>Tyrosine</t>
  </si>
  <si>
    <t>Phenylalanine</t>
  </si>
  <si>
    <t>Hydroxylsine</t>
  </si>
  <si>
    <t>Lysine</t>
  </si>
  <si>
    <t>Histidine</t>
  </si>
  <si>
    <t>Arginine</t>
  </si>
  <si>
    <t>Exogenous Ketones (as R-1,3- Butanediol)</t>
  </si>
  <si>
    <t>10g</t>
  </si>
  <si>
    <t>Keytone IQ</t>
  </si>
  <si>
    <t>Exogenous Ketone-IQ™</t>
  </si>
  <si>
    <t>HMVN</t>
  </si>
  <si>
    <t>Liquid</t>
  </si>
  <si>
    <t>Dr. Formulated Probiotics (30 billion CFU) From:</t>
  </si>
  <si>
    <t>115 mg</t>
  </si>
  <si>
    <t>Probiotic</t>
  </si>
  <si>
    <t>Lactobacillus acidophilus</t>
  </si>
  <si>
    <t>Lactobacillus plantarum</t>
  </si>
  <si>
    <t>Lactobacillus gasseri</t>
  </si>
  <si>
    <t>Lactobacillus paracasei</t>
  </si>
  <si>
    <t>Lactobacillus brevis</t>
  </si>
  <si>
    <t>Lactobacillus casei</t>
  </si>
  <si>
    <t>Lactobacillus rhamnosus</t>
  </si>
  <si>
    <t>Lactobacillus salivarius</t>
  </si>
  <si>
    <t>Bifidobacterium lactis</t>
  </si>
  <si>
    <t>Bifidobacterium bifidum</t>
  </si>
  <si>
    <t>Bifidobacterium breve</t>
  </si>
  <si>
    <t>Bifidobacterium infantis</t>
  </si>
  <si>
    <t>Bifidobacterium longum</t>
  </si>
  <si>
    <t>Organic Prebiotic Fiber Blend:</t>
  </si>
  <si>
    <t>410 mg</t>
  </si>
  <si>
    <t>Organic Potato (Resistant Starch) (tuber)</t>
  </si>
  <si>
    <t>Organic Acacia Fiber (A. senegal)</t>
  </si>
  <si>
    <t xml:space="preserve">Raw Kombucha </t>
  </si>
  <si>
    <t>GTs Synergy</t>
  </si>
  <si>
    <t>Juice</t>
  </si>
  <si>
    <t>Probiotics Bacillus Coagulans GB!-306086 (1 billion)</t>
  </si>
  <si>
    <t>S.Boulardii (4 billion)</t>
  </si>
  <si>
    <t>Lactobacillus Bacterium (4 billion)</t>
  </si>
  <si>
    <t>L+ Lactic Acid</t>
  </si>
  <si>
    <t>100mg</t>
  </si>
  <si>
    <t>Acetic Acid</t>
  </si>
  <si>
    <t>75mg</t>
  </si>
  <si>
    <t>Glucoronic Acid</t>
  </si>
  <si>
    <t>1400mg</t>
  </si>
  <si>
    <t>Gluconic Acid</t>
  </si>
  <si>
    <t>650mg</t>
  </si>
  <si>
    <t>Kombucha culture, black tea, green tea, kiwi juice, peach juice, papaya juice, cane sugar</t>
  </si>
  <si>
    <t>Focus Coffee with Superfoods</t>
  </si>
  <si>
    <t>Coffee+</t>
  </si>
  <si>
    <t>Focus Coffee</t>
  </si>
  <si>
    <t>bareorganics</t>
  </si>
  <si>
    <t>Organic Nicaragua Arabic Coffee</t>
  </si>
  <si>
    <t>Organic Lion's Mane</t>
  </si>
  <si>
    <t>Organic Cinnamon</t>
  </si>
  <si>
    <t>Organic Ashwagandha</t>
  </si>
  <si>
    <t>Organic Gingko</t>
  </si>
  <si>
    <t>Bacillus coagulans</t>
  </si>
  <si>
    <t>Organic Nutmeg</t>
  </si>
  <si>
    <t>Organic black pepper</t>
  </si>
  <si>
    <t>Mythlene Blue 1% Solution Pharmaceutical Grade</t>
  </si>
  <si>
    <t>2.5 mg</t>
  </si>
  <si>
    <t>Chemical</t>
  </si>
  <si>
    <t>Mythelene Blue</t>
  </si>
  <si>
    <t>Biopharm</t>
  </si>
  <si>
    <t>Cretine monohydrate</t>
  </si>
  <si>
    <t>1 g</t>
  </si>
  <si>
    <t>Ascorbic Acid</t>
  </si>
  <si>
    <t>Vitamin C</t>
  </si>
  <si>
    <t>NAC</t>
  </si>
  <si>
    <t>…</t>
  </si>
  <si>
    <t>Compatibility Report for Biologogical Age Tests 3ba41-dnamphenoage_gen-3 20240316.xls</t>
  </si>
  <si>
    <t>Run on 4/6/2024 15:21</t>
  </si>
  <si>
    <t>If the workbook is saved in an earlier file format or opened in an earlier version of Microsoft Excel, the listed features will not be available.</t>
  </si>
  <si>
    <t>Significant loss of functionality</t>
  </si>
  <si>
    <t># of occurrences</t>
  </si>
  <si>
    <t>Version</t>
  </si>
  <si>
    <t>Any effects on this object will be removed. Any text that overflows the boundaries of this graphic will appear truncated.</t>
  </si>
  <si>
    <t>'KIP List'!B4:X311</t>
  </si>
  <si>
    <t>Excel 97-2003</t>
  </si>
  <si>
    <t>Minor loss of fidelity</t>
  </si>
  <si>
    <t>A table style is applied to a table in this workbook. Table style formatting cannot be displayed in earlier versions of Excel.</t>
  </si>
  <si>
    <t>'KIP List'!B10:T311</t>
  </si>
  <si>
    <t>Some cells or styles in this workbook contain formatting that is not supported by the selected file format. These formats will be converted to the closest format available.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</si>
</sst>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
  </numFmts>
  <fonts count="33">
    <font>
      <sz val="10.0"/>
      <color rgb="FF000000"/>
      <name val="Arial"/>
      <scheme val="minor"/>
    </font>
    <font>
      <b/>
      <i/>
      <sz val="14.0"/>
      <color rgb="FF002060"/>
      <name val="Arial"/>
    </font>
    <font/>
    <font>
      <b/>
      <i/>
      <sz val="10.0"/>
      <color theme="1"/>
      <name val="Arial"/>
    </font>
    <font>
      <b/>
      <u/>
      <sz val="10.0"/>
      <color rgb="FF0000FF"/>
      <name val="Arial"/>
    </font>
    <font>
      <u/>
      <sz val="10.0"/>
      <color rgb="FF0000FF"/>
      <name val="Arial"/>
    </font>
    <font>
      <u/>
      <sz val="10.0"/>
      <color rgb="FF0000FF"/>
      <name val="Arial"/>
    </font>
    <font>
      <i/>
      <sz val="10.0"/>
      <color theme="1"/>
      <name val="Arial"/>
    </font>
    <font>
      <sz val="10.0"/>
      <color theme="1"/>
      <name val="Arial"/>
    </font>
    <font>
      <u/>
      <sz val="10.0"/>
      <color rgb="FF0000FF"/>
      <name val="Arial"/>
    </font>
    <font>
      <u/>
      <sz val="10.0"/>
      <color rgb="FF0000FF"/>
      <name val="Arial"/>
    </font>
    <font>
      <u/>
      <sz val="10.0"/>
      <color rgb="FF0000FF"/>
      <name val="Arial"/>
    </font>
    <font>
      <b/>
      <i/>
      <sz val="11.0"/>
      <color rgb="FFC00000"/>
      <name val="Arial"/>
    </font>
    <font>
      <b/>
      <sz val="10.0"/>
      <color theme="1"/>
      <name val="Arial"/>
    </font>
    <font>
      <b/>
      <sz val="10.0"/>
      <color rgb="FF0000FF"/>
      <name val="Arial"/>
    </font>
    <font>
      <b/>
      <sz val="10.0"/>
      <color rgb="FFFF0000"/>
      <name val="Arial"/>
    </font>
    <font>
      <sz val="10.0"/>
      <color theme="1"/>
      <name val="Noto Sans Symbols"/>
    </font>
    <font>
      <b/>
      <sz val="10.0"/>
      <color theme="1"/>
      <name val="Noto Sans Symbols"/>
    </font>
    <font>
      <b/>
      <i/>
      <sz val="10.0"/>
      <color rgb="FF002060"/>
      <name val="Arial"/>
    </font>
    <font>
      <b/>
      <sz val="11.0"/>
      <color rgb="FFFF0000"/>
      <name val="Arial"/>
    </font>
    <font>
      <color theme="1"/>
      <name val="Arial"/>
      <scheme val="minor"/>
    </font>
    <font>
      <sz val="11.0"/>
      <color rgb="FF373737"/>
      <name val="Arial"/>
    </font>
    <font>
      <b/>
      <sz val="11.0"/>
      <color rgb="FF373737"/>
      <name val="Arial"/>
    </font>
    <font>
      <u/>
      <sz val="10.0"/>
      <color rgb="FF0000FF"/>
      <name val="Arial"/>
    </font>
    <font>
      <u/>
      <sz val="10.0"/>
      <color rgb="FF0000FF"/>
      <name val="Arial"/>
    </font>
    <font>
      <u/>
      <sz val="10.0"/>
      <color theme="1"/>
      <name val="Arial"/>
    </font>
    <font>
      <b/>
      <sz val="14.0"/>
      <color theme="1"/>
      <name val="Arial"/>
    </font>
    <font>
      <sz val="12.0"/>
      <color theme="1"/>
      <name val="Arial"/>
    </font>
    <font>
      <sz val="10.0"/>
      <color rgb="FFFFFFFF"/>
      <name val="Arial"/>
    </font>
    <font>
      <color rgb="FFFFFFFF"/>
      <name val="Arial"/>
      <scheme val="minor"/>
    </font>
    <font>
      <sz val="7.0"/>
      <color rgb="FF002C55"/>
      <name val="Arial"/>
    </font>
    <font>
      <sz val="10.0"/>
      <color rgb="FF414042"/>
      <name val="Arial"/>
    </font>
    <font>
      <u/>
      <sz val="10.0"/>
      <color rgb="FF0000FF"/>
      <name val="Arial"/>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66FF33"/>
        <bgColor rgb="FF66FF33"/>
      </patternFill>
    </fill>
    <fill>
      <patternFill patternType="solid">
        <fgColor rgb="FFFF0000"/>
        <bgColor rgb="FFFF0000"/>
      </patternFill>
    </fill>
  </fills>
  <borders count="3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ck">
        <color rgb="FF002060"/>
      </left>
      <top style="thick">
        <color rgb="FF002060"/>
      </top>
      <bottom style="thick">
        <color rgb="FF002060"/>
      </bottom>
    </border>
    <border>
      <top style="thick">
        <color rgb="FF002060"/>
      </top>
      <bottom style="thick">
        <color rgb="FF002060"/>
      </bottom>
    </border>
    <border>
      <right style="thick">
        <color rgb="FF002060"/>
      </right>
      <top style="thick">
        <color rgb="FF002060"/>
      </top>
      <bottom style="thick">
        <color rgb="FF00206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right/>
    </border>
    <border>
      <left/>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0" fontId="1" numFmtId="0" xfId="0" applyAlignment="1" applyBorder="1" applyFont="1">
      <alignment horizontal="left"/>
    </xf>
    <xf borderId="2" fillId="0" fontId="2" numFmtId="0" xfId="0" applyBorder="1" applyFont="1"/>
    <xf borderId="3" fillId="0" fontId="2" numFmtId="0" xfId="0" applyBorder="1" applyFont="1"/>
    <xf borderId="1" fillId="0" fontId="3" numFmtId="0" xfId="0" applyAlignment="1" applyBorder="1" applyFont="1">
      <alignment horizontal="left"/>
    </xf>
    <xf borderId="4" fillId="0" fontId="4" numFmtId="0" xfId="0" applyAlignment="1" applyBorder="1" applyFont="1">
      <alignment horizontal="left"/>
    </xf>
    <xf borderId="5" fillId="0" fontId="2" numFmtId="0" xfId="0" applyBorder="1" applyFont="1"/>
    <xf borderId="0" fillId="0" fontId="5" numFmtId="0" xfId="0" applyAlignment="1" applyFont="1">
      <alignment horizontal="left"/>
    </xf>
    <xf borderId="5" fillId="0" fontId="6" numFmtId="0" xfId="0" applyAlignment="1" applyBorder="1" applyFont="1">
      <alignment horizontal="left"/>
    </xf>
    <xf borderId="1" fillId="0" fontId="7" numFmtId="0" xfId="0" applyAlignment="1" applyBorder="1" applyFont="1">
      <alignment horizontal="left"/>
    </xf>
    <xf borderId="0" fillId="0" fontId="7" numFmtId="0" xfId="0" applyAlignment="1" applyFont="1">
      <alignment horizontal="left"/>
    </xf>
    <xf borderId="2" fillId="0" fontId="8" numFmtId="0" xfId="0" applyBorder="1" applyFont="1"/>
    <xf borderId="0" fillId="0" fontId="9" numFmtId="0" xfId="0" applyAlignment="1" applyFont="1">
      <alignment horizontal="center"/>
    </xf>
    <xf borderId="1" fillId="0" fontId="10" numFmtId="0" xfId="0" applyBorder="1" applyFont="1"/>
    <xf borderId="3" fillId="0" fontId="8" numFmtId="0" xfId="0" applyBorder="1" applyFont="1"/>
    <xf borderId="2" fillId="0" fontId="11" numFmtId="0" xfId="0" applyBorder="1" applyFont="1"/>
    <xf borderId="2" fillId="0" fontId="7" numFmtId="0" xfId="0" applyBorder="1" applyFont="1"/>
    <xf borderId="6" fillId="2" fontId="12" numFmtId="0" xfId="0" applyAlignment="1" applyBorder="1" applyFill="1" applyFont="1">
      <alignment horizontal="left"/>
    </xf>
    <xf borderId="7" fillId="0" fontId="2" numFmtId="0" xfId="0" applyBorder="1" applyFont="1"/>
    <xf borderId="8" fillId="0" fontId="2" numFmtId="0" xfId="0" applyBorder="1" applyFont="1"/>
    <xf borderId="4" fillId="0" fontId="13" numFmtId="0" xfId="0" applyAlignment="1" applyBorder="1" applyFont="1">
      <alignment horizontal="center" shrinkToFit="0" vertical="center" wrapText="1"/>
    </xf>
    <xf borderId="9" fillId="0" fontId="13" numFmtId="0" xfId="0" applyAlignment="1" applyBorder="1" applyFont="1">
      <alignment horizontal="center" shrinkToFit="0" vertical="center" wrapText="1"/>
    </xf>
    <xf borderId="5"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0" fillId="0" fontId="13" numFmtId="0" xfId="0" applyAlignment="1" applyBorder="1" applyFont="1">
      <alignment horizontal="center" shrinkToFit="0" vertical="center" wrapText="1"/>
    </xf>
    <xf borderId="10" fillId="0" fontId="14" numFmtId="0" xfId="0" applyAlignment="1" applyBorder="1" applyFont="1">
      <alignment horizontal="right"/>
    </xf>
    <xf borderId="10" fillId="0" fontId="14" numFmtId="14" xfId="0" applyAlignment="1" applyBorder="1" applyFont="1" applyNumberFormat="1">
      <alignment horizontal="right"/>
    </xf>
    <xf borderId="10" fillId="0" fontId="15" numFmtId="0" xfId="0" applyAlignment="1" applyBorder="1" applyFont="1">
      <alignment horizontal="left"/>
    </xf>
    <xf borderId="10" fillId="0" fontId="8" numFmtId="0" xfId="0" applyAlignment="1" applyBorder="1" applyFont="1">
      <alignment horizontal="center" shrinkToFit="0" vertical="center" wrapText="1"/>
    </xf>
    <xf borderId="10" fillId="0" fontId="14" numFmtId="0" xfId="0" applyAlignment="1" applyBorder="1" applyFont="1">
      <alignment horizontal="center"/>
    </xf>
    <xf borderId="10" fillId="0" fontId="14" numFmtId="2" xfId="0" applyAlignment="1" applyBorder="1" applyFont="1" applyNumberFormat="1">
      <alignment horizontal="center"/>
    </xf>
    <xf borderId="11" fillId="0" fontId="13" numFmtId="0" xfId="0" applyAlignment="1" applyBorder="1" applyFont="1">
      <alignment horizontal="center"/>
    </xf>
    <xf borderId="11" fillId="0" fontId="8" numFmtId="0" xfId="0" applyAlignment="1" applyBorder="1" applyFont="1">
      <alignment horizontal="center"/>
    </xf>
    <xf borderId="9" fillId="0" fontId="13" numFmtId="0" xfId="0" applyAlignment="1" applyBorder="1" applyFont="1">
      <alignment horizontal="center"/>
    </xf>
    <xf borderId="9" fillId="0" fontId="8" numFmtId="0" xfId="0" applyBorder="1" applyFont="1"/>
    <xf borderId="10" fillId="0" fontId="13" numFmtId="0" xfId="0" applyAlignment="1" applyBorder="1" applyFont="1">
      <alignment horizontal="center"/>
    </xf>
    <xf borderId="10" fillId="0" fontId="8" numFmtId="2" xfId="0" applyAlignment="1" applyBorder="1" applyFont="1" applyNumberFormat="1">
      <alignment horizontal="center"/>
    </xf>
    <xf borderId="10" fillId="0" fontId="8" numFmtId="164" xfId="0" applyAlignment="1" applyBorder="1" applyFont="1" applyNumberFormat="1">
      <alignment horizontal="center"/>
    </xf>
    <xf borderId="10" fillId="0" fontId="8" numFmtId="0" xfId="0" applyAlignment="1" applyBorder="1" applyFont="1">
      <alignment horizontal="center"/>
    </xf>
    <xf borderId="11" fillId="0" fontId="16" numFmtId="0" xfId="0" applyAlignment="1" applyBorder="1" applyFont="1">
      <alignment horizontal="center"/>
    </xf>
    <xf borderId="11" fillId="0" fontId="13" numFmtId="164" xfId="0" applyAlignment="1" applyBorder="1" applyFont="1" applyNumberFormat="1">
      <alignment horizontal="center"/>
    </xf>
    <xf borderId="11" fillId="0" fontId="8" numFmtId="164" xfId="0" applyBorder="1" applyFont="1" applyNumberFormat="1"/>
    <xf borderId="4" fillId="0" fontId="13" numFmtId="0" xfId="0" applyAlignment="1" applyBorder="1" applyFont="1">
      <alignment horizontal="left"/>
    </xf>
    <xf borderId="5" fillId="0" fontId="8" numFmtId="0" xfId="0" applyBorder="1" applyFont="1"/>
    <xf borderId="1" fillId="0" fontId="13" numFmtId="0" xfId="0" applyAlignment="1" applyBorder="1" applyFont="1">
      <alignment horizontal="center"/>
    </xf>
    <xf borderId="12" fillId="0" fontId="8" numFmtId="0" xfId="0" applyAlignment="1" applyBorder="1" applyFont="1">
      <alignment horizontal="center"/>
    </xf>
    <xf borderId="4" fillId="0" fontId="17" numFmtId="0" xfId="0" applyAlignment="1" applyBorder="1" applyFont="1">
      <alignment horizontal="center"/>
    </xf>
    <xf borderId="13" fillId="0" fontId="13" numFmtId="0" xfId="0" applyAlignment="1" applyBorder="1" applyFont="1">
      <alignment horizontal="center"/>
    </xf>
    <xf borderId="11" fillId="0" fontId="8" numFmtId="0" xfId="0" applyBorder="1" applyFont="1"/>
    <xf borderId="14" fillId="0" fontId="8" numFmtId="0" xfId="0" applyBorder="1" applyFont="1"/>
    <xf borderId="12" fillId="0" fontId="13" numFmtId="2" xfId="0" applyAlignment="1" applyBorder="1" applyFont="1" applyNumberFormat="1">
      <alignment horizontal="center"/>
    </xf>
    <xf borderId="12" fillId="2" fontId="13" numFmtId="2" xfId="0" applyAlignment="1" applyBorder="1" applyFont="1" applyNumberFormat="1">
      <alignment horizontal="center"/>
    </xf>
    <xf borderId="15" fillId="2" fontId="18" numFmtId="2" xfId="0" applyAlignment="1" applyBorder="1" applyFont="1" applyNumberFormat="1">
      <alignment horizontal="left"/>
    </xf>
    <xf borderId="15" fillId="2" fontId="8" numFmtId="2" xfId="0" applyAlignment="1" applyBorder="1" applyFont="1" applyNumberFormat="1">
      <alignment horizontal="center"/>
    </xf>
    <xf borderId="0" fillId="0" fontId="8" numFmtId="2" xfId="0" applyAlignment="1" applyFont="1" applyNumberFormat="1">
      <alignment horizontal="center"/>
    </xf>
    <xf borderId="5" fillId="0" fontId="8" numFmtId="2" xfId="0" applyAlignment="1" applyBorder="1" applyFont="1" applyNumberFormat="1">
      <alignment horizontal="center"/>
    </xf>
    <xf borderId="12" fillId="0" fontId="19" numFmtId="2" xfId="0" applyAlignment="1" applyBorder="1" applyFont="1" applyNumberFormat="1">
      <alignment horizontal="center"/>
    </xf>
    <xf borderId="12" fillId="0" fontId="8" numFmtId="2" xfId="0" applyAlignment="1" applyBorder="1" applyFont="1" applyNumberFormat="1">
      <alignment horizontal="center"/>
    </xf>
    <xf borderId="12" fillId="2" fontId="14" numFmtId="165" xfId="0" applyAlignment="1" applyBorder="1" applyFont="1" applyNumberFormat="1">
      <alignment horizontal="center"/>
    </xf>
    <xf borderId="12" fillId="2" fontId="14" numFmtId="2" xfId="0" applyAlignment="1" applyBorder="1" applyFont="1" applyNumberFormat="1">
      <alignment horizontal="center"/>
    </xf>
    <xf borderId="16" fillId="0" fontId="18" numFmtId="2" xfId="0" applyAlignment="1" applyBorder="1" applyFont="1" applyNumberFormat="1">
      <alignment horizontal="left"/>
    </xf>
    <xf borderId="16" fillId="0" fontId="8" numFmtId="2" xfId="0" applyAlignment="1" applyBorder="1" applyFont="1" applyNumberFormat="1">
      <alignment horizontal="center"/>
    </xf>
    <xf borderId="14" fillId="0" fontId="8" numFmtId="2" xfId="0" applyAlignment="1" applyBorder="1" applyFont="1" applyNumberFormat="1">
      <alignment horizontal="center"/>
    </xf>
    <xf borderId="0" fillId="0" fontId="19" numFmtId="2" xfId="0" applyAlignment="1" applyFont="1" applyNumberFormat="1">
      <alignment horizontal="left"/>
    </xf>
    <xf borderId="0" fillId="0" fontId="15" numFmtId="165" xfId="0" applyAlignment="1" applyFont="1" applyNumberFormat="1">
      <alignment horizontal="center"/>
    </xf>
    <xf borderId="15" fillId="2" fontId="14" numFmtId="2" xfId="0" applyAlignment="1" applyBorder="1" applyFont="1" applyNumberFormat="1">
      <alignment horizontal="center"/>
    </xf>
    <xf borderId="0" fillId="0" fontId="13" numFmtId="2" xfId="0" applyAlignment="1" applyFont="1" applyNumberFormat="1">
      <alignment horizontal="left"/>
    </xf>
    <xf borderId="0" fillId="0" fontId="8" numFmtId="0" xfId="0" applyFont="1"/>
    <xf borderId="0" fillId="0" fontId="8" numFmtId="0" xfId="0" applyAlignment="1" applyFont="1">
      <alignment vertical="center"/>
    </xf>
    <xf borderId="0" fillId="0" fontId="20" numFmtId="0" xfId="0" applyFont="1"/>
    <xf borderId="0" fillId="0" fontId="8" numFmtId="0" xfId="0" applyAlignment="1" applyFont="1">
      <alignment horizontal="left"/>
    </xf>
    <xf borderId="0" fillId="0" fontId="21" numFmtId="0" xfId="0" applyAlignment="1" applyFont="1">
      <alignment vertical="center"/>
    </xf>
    <xf borderId="0" fillId="0" fontId="22" numFmtId="0" xfId="0" applyAlignment="1" applyFont="1">
      <alignment vertical="center"/>
    </xf>
    <xf borderId="15" fillId="3" fontId="22" numFmtId="0" xfId="0" applyAlignment="1" applyBorder="1" applyFill="1" applyFont="1">
      <alignment vertical="center"/>
    </xf>
    <xf borderId="0" fillId="0" fontId="7" numFmtId="0" xfId="0" applyFont="1"/>
    <xf borderId="4" fillId="0" fontId="23" numFmtId="0" xfId="0" applyAlignment="1" applyBorder="1" applyFont="1">
      <alignment horizontal="center"/>
    </xf>
    <xf borderId="0" fillId="0" fontId="7" numFmtId="0" xfId="0" applyAlignment="1" applyFont="1">
      <alignment horizontal="center"/>
    </xf>
    <xf borderId="13" fillId="0" fontId="24" numFmtId="0" xfId="0" applyAlignment="1" applyBorder="1" applyFont="1">
      <alignment horizontal="center"/>
    </xf>
    <xf borderId="16" fillId="0" fontId="2" numFmtId="0" xfId="0" applyBorder="1" applyFont="1"/>
    <xf borderId="14" fillId="0" fontId="2" numFmtId="0" xfId="0" applyBorder="1" applyFont="1"/>
    <xf borderId="0" fillId="0" fontId="25" numFmtId="0" xfId="0" applyAlignment="1" applyFont="1">
      <alignment horizontal="center"/>
    </xf>
    <xf borderId="3" fillId="0" fontId="13" numFmtId="0" xfId="0" applyAlignment="1" applyBorder="1" applyFont="1">
      <alignment horizontal="center" shrinkToFit="0" vertical="center" wrapText="1"/>
    </xf>
    <xf borderId="0" fillId="0" fontId="26"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xf>
    <xf borderId="10" fillId="0" fontId="14" numFmtId="0" xfId="0" applyAlignment="1" applyBorder="1" applyFont="1">
      <alignment horizontal="center" readingOrder="0"/>
    </xf>
    <xf borderId="0" fillId="0" fontId="26" numFmtId="0" xfId="0" applyAlignment="1" applyFont="1">
      <alignment horizontal="center"/>
    </xf>
    <xf borderId="0" fillId="0" fontId="14" numFmtId="0" xfId="0" applyAlignment="1" applyFont="1">
      <alignment horizontal="center"/>
    </xf>
    <xf borderId="0" fillId="0" fontId="8" numFmtId="0" xfId="0" applyAlignment="1" applyFont="1">
      <alignment horizontal="center"/>
    </xf>
    <xf borderId="0" fillId="0" fontId="8" numFmtId="164" xfId="0" applyFont="1" applyNumberFormat="1"/>
    <xf borderId="12" fillId="0" fontId="15" numFmtId="2" xfId="0" applyAlignment="1" applyBorder="1" applyFont="1" applyNumberFormat="1">
      <alignment horizontal="center"/>
    </xf>
    <xf borderId="12" fillId="0" fontId="8" numFmtId="164" xfId="0" applyAlignment="1" applyBorder="1" applyFont="1" applyNumberFormat="1">
      <alignment horizontal="center"/>
    </xf>
    <xf borderId="12" fillId="0" fontId="15" numFmtId="165" xfId="0" applyAlignment="1" applyBorder="1" applyFont="1" applyNumberFormat="1">
      <alignment horizontal="center"/>
    </xf>
    <xf borderId="0" fillId="0" fontId="8" numFmtId="166" xfId="0" applyFont="1" applyNumberFormat="1"/>
    <xf borderId="0" fillId="0" fontId="20" numFmtId="0" xfId="0" applyAlignment="1" applyFont="1">
      <alignment readingOrder="0"/>
    </xf>
    <xf quotePrefix="1" borderId="17" fillId="4" fontId="13" numFmtId="0" xfId="0" applyAlignment="1" applyBorder="1" applyFill="1" applyFont="1">
      <alignment horizontal="center" shrinkToFit="0" vertical="center" wrapText="1"/>
    </xf>
    <xf quotePrefix="1" borderId="17" fillId="5" fontId="13" numFmtId="0" xfId="0" applyAlignment="1" applyBorder="1" applyFill="1" applyFont="1">
      <alignment horizontal="center" shrinkToFit="0" vertical="center" wrapText="1"/>
    </xf>
    <xf quotePrefix="1" borderId="10" fillId="0" fontId="13" numFmtId="0" xfId="0" applyAlignment="1" applyBorder="1" applyFont="1">
      <alignment horizontal="center" shrinkToFit="0" vertical="center" wrapText="1"/>
    </xf>
    <xf quotePrefix="1" borderId="15" fillId="4" fontId="13" numFmtId="0" xfId="0" applyAlignment="1" applyBorder="1" applyFont="1">
      <alignment horizontal="center" shrinkToFit="0" vertical="center" wrapText="1"/>
    </xf>
    <xf quotePrefix="1" borderId="15" fillId="5" fontId="13" numFmtId="0" xfId="0" applyAlignment="1" applyBorder="1" applyFont="1">
      <alignment horizontal="center" shrinkToFit="0" vertical="center" wrapText="1"/>
    </xf>
    <xf quotePrefix="1" borderId="0" fillId="0" fontId="13" numFmtId="0" xfId="0" applyAlignment="1" applyFont="1">
      <alignment horizontal="center" shrinkToFit="0" vertical="center" wrapText="1"/>
    </xf>
    <xf borderId="0" fillId="0" fontId="27" numFmtId="0" xfId="0" applyFont="1"/>
    <xf borderId="0" fillId="0" fontId="28" numFmtId="0" xfId="0" applyFont="1"/>
    <xf borderId="0" fillId="0" fontId="29" numFmtId="0" xfId="0" applyFont="1"/>
    <xf borderId="18" fillId="0" fontId="28" numFmtId="0" xfId="0" applyBorder="1" applyFont="1"/>
    <xf borderId="19" fillId="0" fontId="28" numFmtId="0" xfId="0" applyBorder="1" applyFont="1"/>
    <xf borderId="20" fillId="0" fontId="28" numFmtId="0" xfId="0" applyBorder="1" applyFont="1"/>
    <xf borderId="0" fillId="0" fontId="20" numFmtId="0" xfId="0" applyFont="1"/>
    <xf borderId="0" fillId="0" fontId="13" numFmtId="0" xfId="0" applyFont="1"/>
    <xf borderId="0" fillId="0" fontId="8" numFmtId="0" xfId="0" applyAlignment="1" applyFont="1">
      <alignment vertical="center"/>
    </xf>
    <xf borderId="0" fillId="0" fontId="8" numFmtId="0" xfId="0" applyAlignment="1" applyFont="1">
      <alignment horizontal="center" vertical="center"/>
    </xf>
    <xf borderId="0" fillId="0" fontId="8" numFmtId="0" xfId="0" applyFont="1"/>
    <xf borderId="15" fillId="3" fontId="30" numFmtId="0" xfId="0" applyAlignment="1" applyBorder="1" applyFont="1">
      <alignment shrinkToFit="0" vertical="center" wrapText="1"/>
    </xf>
    <xf borderId="21" fillId="3" fontId="30" numFmtId="0" xfId="0" applyAlignment="1" applyBorder="1" applyFont="1">
      <alignment shrinkToFit="0" vertical="center" wrapText="1"/>
    </xf>
    <xf borderId="15" fillId="3" fontId="8" numFmtId="0" xfId="0" applyAlignment="1" applyBorder="1" applyFont="1">
      <alignment shrinkToFit="0" vertical="center" wrapText="1"/>
    </xf>
    <xf borderId="22" fillId="0" fontId="2" numFmtId="0" xfId="0" applyBorder="1" applyFont="1"/>
    <xf borderId="23" fillId="0" fontId="2" numFmtId="0" xfId="0" applyBorder="1" applyFont="1"/>
    <xf borderId="0" fillId="0" fontId="8" numFmtId="0" xfId="0" applyAlignment="1" applyFont="1">
      <alignment horizontal="left"/>
    </xf>
    <xf borderId="0" fillId="0" fontId="7" numFmtId="0" xfId="0" applyFont="1"/>
    <xf borderId="15" fillId="3" fontId="8" numFmtId="0" xfId="0" applyBorder="1" applyFont="1"/>
    <xf borderId="0" fillId="0" fontId="31" numFmtId="0" xfId="0" applyFont="1"/>
    <xf borderId="0" fillId="0" fontId="13" numFmtId="0" xfId="0" applyAlignment="1" applyFont="1">
      <alignment shrinkToFit="0" vertical="top" wrapText="1"/>
    </xf>
    <xf borderId="0" fillId="0" fontId="13" numFmtId="0" xfId="0" applyAlignment="1" applyFont="1">
      <alignment horizontal="center" shrinkToFit="0" vertical="top" wrapText="1"/>
    </xf>
    <xf borderId="0" fillId="0" fontId="8" numFmtId="0" xfId="0" applyAlignment="1" applyFont="1">
      <alignment shrinkToFit="0" vertical="top" wrapText="1"/>
    </xf>
    <xf borderId="0" fillId="0" fontId="8" numFmtId="0" xfId="0" applyAlignment="1" applyFont="1">
      <alignment horizontal="center" shrinkToFit="0" vertical="top" wrapText="1"/>
    </xf>
    <xf borderId="24" fillId="0" fontId="8" numFmtId="0" xfId="0" applyAlignment="1" applyBorder="1" applyFont="1">
      <alignment shrinkToFit="0" vertical="top" wrapText="1"/>
    </xf>
    <xf borderId="25" fillId="0" fontId="8" numFmtId="0" xfId="0" applyAlignment="1" applyBorder="1" applyFont="1">
      <alignment shrinkToFit="0" vertical="top" wrapText="1"/>
    </xf>
    <xf borderId="25" fillId="0" fontId="8" numFmtId="0" xfId="0" applyAlignment="1" applyBorder="1" applyFont="1">
      <alignment horizontal="center" shrinkToFit="0" vertical="top" wrapText="1"/>
    </xf>
    <xf borderId="26" fillId="0" fontId="8" numFmtId="0" xfId="0" applyAlignment="1" applyBorder="1" applyFont="1">
      <alignment horizontal="center" shrinkToFit="0" vertical="top" wrapText="1"/>
    </xf>
    <xf borderId="27" fillId="0" fontId="8" numFmtId="0" xfId="0" applyAlignment="1" applyBorder="1" applyFont="1">
      <alignment shrinkToFit="0" vertical="top" wrapText="1"/>
    </xf>
    <xf borderId="28" fillId="0" fontId="8" numFmtId="0" xfId="0" applyAlignment="1" applyBorder="1" applyFont="1">
      <alignment shrinkToFit="0" vertical="top" wrapText="1"/>
    </xf>
    <xf borderId="28" fillId="0" fontId="8" numFmtId="0" xfId="0" applyAlignment="1" applyBorder="1" applyFont="1">
      <alignment horizontal="center" shrinkToFit="0" vertical="top" wrapText="1"/>
    </xf>
    <xf borderId="28" fillId="0" fontId="32" numFmtId="0" xfId="0" applyAlignment="1" applyBorder="1" applyFont="1">
      <alignment horizontal="center" shrinkToFit="0" vertical="top" wrapText="1"/>
    </xf>
    <xf borderId="29" fillId="0" fontId="8" numFmtId="0" xfId="0" applyAlignment="1" applyBorder="1" applyFont="1">
      <alignment horizontal="center" shrinkToFit="0" vertical="top" wrapText="1"/>
    </xf>
    <xf borderId="30" fillId="0" fontId="8" numFmtId="0" xfId="0" applyAlignment="1" applyBorder="1" applyFont="1">
      <alignment shrinkToFit="0" vertical="top" wrapText="1"/>
    </xf>
    <xf borderId="31" fillId="0" fontId="8" numFmtId="0" xfId="0" applyAlignment="1" applyBorder="1" applyFont="1">
      <alignment shrinkToFit="0" vertical="top" wrapText="1"/>
    </xf>
    <xf borderId="31" fillId="0" fontId="8" numFmtId="0" xfId="0" applyAlignment="1" applyBorder="1" applyFont="1">
      <alignment horizontal="center" shrinkToFit="0" vertical="top" wrapText="1"/>
    </xf>
    <xf borderId="32" fillId="0" fontId="8" numFmtId="0" xfId="0" applyAlignment="1" applyBorder="1" applyFont="1">
      <alignment horizontal="center"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1">
    <tableStyle count="3" pivot="0" name="KIP List-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39</xdr:row>
      <xdr:rowOff>66675</xdr:rowOff>
    </xdr:from>
    <xdr:ext cx="6086475" cy="2562225"/>
    <xdr:pic>
      <xdr:nvPicPr>
        <xdr:cNvPr descr="https://joshmitteldorf.scienceblog.com/files/2019/02/Pheno-age-variables-1024x486.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123825</xdr:colOff>
      <xdr:row>0</xdr:row>
      <xdr:rowOff>114300</xdr:rowOff>
    </xdr:from>
    <xdr:ext cx="7924800" cy="619125"/>
    <xdr:sp>
      <xdr:nvSpPr>
        <xdr:cNvPr id="3" name="Shape 3"/>
        <xdr:cNvSpPr txBox="1"/>
      </xdr:nvSpPr>
      <xdr:spPr>
        <a:xfrm>
          <a:off x="1388363" y="3475200"/>
          <a:ext cx="7915275" cy="609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The following is the current Ingram list. There are many products and brands with pros and cons that have been tried and tested and replaced but none of the products indicated are necessarily endorsed by Kiron.</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Units:</a:t>
          </a:r>
          <a:r>
            <a:rPr lang="en-US" sz="1100">
              <a:solidFill>
                <a:schemeClr val="dk1"/>
              </a:solidFill>
              <a:latin typeface="Calibri"/>
              <a:ea typeface="Calibri"/>
              <a:cs typeface="Calibri"/>
              <a:sym typeface="Calibri"/>
            </a:rPr>
            <a:t> 1 µg = .001mg </a:t>
          </a:r>
          <a:endParaRPr sz="1100"/>
        </a:p>
      </xdr:txBody>
    </xdr:sp>
    <xdr:clientData fLocksWithSheet="0"/>
  </xdr:oneCellAnchor>
  <xdr:oneCellAnchor>
    <xdr:from>
      <xdr:col>2</xdr:col>
      <xdr:colOff>581025</xdr:colOff>
      <xdr:row>1</xdr:row>
      <xdr:rowOff>57150</xdr:rowOff>
    </xdr:from>
    <xdr:ext cx="5038725" cy="981075"/>
    <xdr:sp>
      <xdr:nvSpPr>
        <xdr:cNvPr id="4" name="Shape 4"/>
        <xdr:cNvSpPr txBox="1"/>
      </xdr:nvSpPr>
      <xdr:spPr>
        <a:xfrm>
          <a:off x="2831400" y="3294225"/>
          <a:ext cx="5029200" cy="971550"/>
        </a:xfrm>
        <a:prstGeom prst="rect">
          <a:avLst/>
        </a:prstGeom>
        <a:no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u="none">
              <a:solidFill>
                <a:schemeClr val="dk1"/>
              </a:solidFill>
              <a:latin typeface="Calibri"/>
              <a:ea typeface="Calibri"/>
              <a:cs typeface="Calibri"/>
              <a:sym typeface="Calibri"/>
            </a:rPr>
            <a:t>Measures:</a:t>
          </a:r>
          <a:r>
            <a:rPr b="0" lang="en-US" sz="1100" u="none">
              <a:solidFill>
                <a:schemeClr val="dk1"/>
              </a:solidFill>
              <a:latin typeface="Calibri"/>
              <a:ea typeface="Calibri"/>
              <a:cs typeface="Calibri"/>
              <a:sym typeface="Calibri"/>
            </a:rPr>
            <a:t> </a:t>
          </a:r>
          <a:r>
            <a:rPr b="0" i="0" lang="en-US" sz="1100" u="none">
              <a:solidFill>
                <a:schemeClr val="dk1"/>
              </a:solidFill>
              <a:latin typeface="Calibri"/>
              <a:ea typeface="Calibri"/>
              <a:cs typeface="Calibri"/>
              <a:sym typeface="Calibri"/>
            </a:rPr>
            <a:t>A milligram (mg) is a unit of mass equal to one thousandth of a gram, while a microgram (µg) is one millionth of a gram; hence, 1 mg equals 1000 µg. In summary:</a:t>
          </a:r>
          <a:endParaRPr sz="1400"/>
        </a:p>
        <a:p>
          <a:pPr indent="0" lvl="0" marL="0" rtl="0" algn="l">
            <a:spcBef>
              <a:spcPts val="0"/>
            </a:spcBef>
            <a:spcAft>
              <a:spcPts val="0"/>
            </a:spcAft>
            <a:buNone/>
          </a:pPr>
          <a:r>
            <a:rPr b="0" i="0" lang="en-US" sz="1100" u="none">
              <a:solidFill>
                <a:schemeClr val="dk1"/>
              </a:solidFill>
              <a:latin typeface="Calibri"/>
              <a:ea typeface="Calibri"/>
              <a:cs typeface="Calibri"/>
              <a:sym typeface="Calibri"/>
            </a:rPr>
            <a:t>Milligram (mg): 1 mg = 1/1000 g</a:t>
          </a:r>
          <a:endParaRPr sz="1400"/>
        </a:p>
        <a:p>
          <a:pPr indent="0" lvl="0" marL="0" rtl="0" algn="l">
            <a:spcBef>
              <a:spcPts val="0"/>
            </a:spcBef>
            <a:spcAft>
              <a:spcPts val="0"/>
            </a:spcAft>
            <a:buNone/>
          </a:pPr>
          <a:r>
            <a:rPr b="0" i="0" lang="en-US" sz="1100" u="none">
              <a:solidFill>
                <a:schemeClr val="dk1"/>
              </a:solidFill>
              <a:latin typeface="Calibri"/>
              <a:ea typeface="Calibri"/>
              <a:cs typeface="Calibri"/>
              <a:sym typeface="Calibri"/>
            </a:rPr>
            <a:t>Microgram (µg): 1 µg = 1/1000000 g</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0:T311" displayName="Table_1" name="Table_1" id="1">
  <tableColumns count="19">
    <tableColumn name="Ref. #" id="1"/>
    <tableColumn name="Ingredient / Product" id="2"/>
    <tableColumn name="Dose" id="3"/>
    <tableColumn name="Frequency" id="4"/>
    <tableColumn name="Description" id="5"/>
    <tableColumn name="Product" id="6"/>
    <tableColumn name="Brand" id="7"/>
    <tableColumn name="Delivery" id="8"/>
    <tableColumn name="Description2" id="9"/>
    <tableColumn name="Primary" id="10"/>
    <tableColumn name="Category" id="11"/>
    <tableColumn name="Est. Cost" id="12"/>
    <tableColumn name="Order Info." id="13"/>
    <tableColumn name="Affiliate Info." id="14"/>
    <tableColumn name="Strategic Fit" id="15"/>
    <tableColumn name="Feasibility" id="16"/>
    <tableColumn name="Impact" id="17"/>
    <tableColumn name="Risk" id="18"/>
    <tableColumn name="Certainty" id="19"/>
  </tableColumns>
  <tableStyleInfo name="KIP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pmc/articles/PMC5940111/" TargetMode="External"/><Relationship Id="rId2" Type="http://schemas.openxmlformats.org/officeDocument/2006/relationships/hyperlink" Target="https://www.dropbox.com/s/8wj94be28lt9k7q/DNAmPhenoAge_gen.xls" TargetMode="External"/><Relationship Id="rId3" Type="http://schemas.openxmlformats.org/officeDocument/2006/relationships/hyperlink" Target="https://agingmetrics.org/CalculatePhenAgeResp.aspx" TargetMode="External"/><Relationship Id="rId4" Type="http://schemas.openxmlformats.org/officeDocument/2006/relationships/hyperlink" Target="https://agingmetrics.org/ADAM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0.63"/>
    <col customWidth="1" min="3" max="3" width="8.75"/>
    <col customWidth="1" min="4" max="4" width="12.0"/>
    <col customWidth="1" min="5" max="11" width="8.75"/>
    <col customWidth="1" min="12" max="12" width="16.5"/>
    <col customWidth="1" min="13" max="26" width="8.75"/>
  </cols>
  <sheetData>
    <row r="1" ht="12.75" customHeight="1"/>
    <row r="2" ht="12.75" customHeight="1">
      <c r="B2" s="1" t="s">
        <v>0</v>
      </c>
      <c r="C2" s="2"/>
      <c r="D2" s="2"/>
      <c r="E2" s="2"/>
      <c r="F2" s="2"/>
      <c r="G2" s="2"/>
      <c r="H2" s="2"/>
      <c r="I2" s="2"/>
      <c r="J2" s="2"/>
      <c r="K2" s="2"/>
      <c r="L2" s="3"/>
    </row>
    <row r="3" ht="12.75" customHeight="1">
      <c r="B3" s="4" t="s">
        <v>1</v>
      </c>
      <c r="C3" s="2"/>
      <c r="D3" s="2"/>
      <c r="E3" s="2"/>
      <c r="F3" s="2"/>
      <c r="G3" s="2"/>
      <c r="H3" s="2"/>
      <c r="I3" s="2"/>
      <c r="J3" s="2"/>
      <c r="K3" s="2"/>
      <c r="L3" s="3"/>
    </row>
    <row r="4" ht="12.75" customHeight="1">
      <c r="B4" s="5" t="s">
        <v>2</v>
      </c>
      <c r="L4" s="6"/>
    </row>
    <row r="5" ht="12.75" customHeight="1">
      <c r="B5" s="5" t="s">
        <v>3</v>
      </c>
      <c r="C5" s="7"/>
      <c r="D5" s="7"/>
      <c r="E5" s="7"/>
      <c r="F5" s="7"/>
      <c r="G5" s="7"/>
      <c r="H5" s="7"/>
      <c r="I5" s="7"/>
      <c r="J5" s="7"/>
      <c r="K5" s="7"/>
      <c r="L5" s="8"/>
    </row>
    <row r="6" ht="12.75" customHeight="1">
      <c r="B6" s="9" t="s">
        <v>4</v>
      </c>
      <c r="C6" s="2"/>
      <c r="D6" s="2"/>
      <c r="E6" s="2"/>
      <c r="F6" s="2"/>
      <c r="G6" s="2"/>
      <c r="H6" s="2"/>
      <c r="I6" s="2"/>
      <c r="J6" s="2"/>
      <c r="K6" s="2"/>
      <c r="L6" s="3"/>
    </row>
    <row r="7" ht="12.75" customHeight="1">
      <c r="B7" s="10" t="s">
        <v>5</v>
      </c>
      <c r="C7" s="11"/>
      <c r="D7" s="12"/>
      <c r="E7" s="13" t="s">
        <v>6</v>
      </c>
      <c r="F7" s="11"/>
      <c r="G7" s="11"/>
      <c r="H7" s="11"/>
      <c r="I7" s="11"/>
      <c r="J7" s="11"/>
      <c r="K7" s="11"/>
      <c r="L7" s="14"/>
    </row>
    <row r="8" ht="12.75" customHeight="1">
      <c r="B8" s="10" t="s">
        <v>7</v>
      </c>
      <c r="C8" s="15" t="s">
        <v>8</v>
      </c>
      <c r="D8" s="12"/>
      <c r="E8" s="13"/>
      <c r="F8" s="11"/>
      <c r="G8" s="11"/>
      <c r="H8" s="11"/>
      <c r="I8" s="11"/>
      <c r="J8" s="11"/>
      <c r="K8" s="11"/>
      <c r="L8" s="14"/>
    </row>
    <row r="9" ht="12.75" customHeight="1">
      <c r="B9" s="16" t="s">
        <v>9</v>
      </c>
      <c r="C9" s="12"/>
      <c r="D9" s="12"/>
      <c r="E9" s="13"/>
      <c r="F9" s="11"/>
      <c r="G9" s="12"/>
      <c r="H9" s="15" t="s">
        <v>10</v>
      </c>
      <c r="I9" s="11"/>
      <c r="J9" s="11"/>
      <c r="K9" s="11"/>
      <c r="L9" s="14"/>
    </row>
    <row r="10" ht="12.75" customHeight="1">
      <c r="B10" s="17" t="s">
        <v>11</v>
      </c>
      <c r="C10" s="18"/>
      <c r="D10" s="18"/>
      <c r="E10" s="18"/>
      <c r="F10" s="18"/>
      <c r="G10" s="18"/>
      <c r="H10" s="18"/>
      <c r="I10" s="18"/>
      <c r="J10" s="18"/>
      <c r="K10" s="18"/>
      <c r="L10" s="19"/>
    </row>
    <row r="11" ht="12.75" customHeight="1">
      <c r="B11" s="20" t="s">
        <v>12</v>
      </c>
      <c r="C11" s="21" t="s">
        <v>13</v>
      </c>
      <c r="D11" s="21" t="s">
        <v>14</v>
      </c>
      <c r="E11" s="21" t="s">
        <v>15</v>
      </c>
      <c r="F11" s="21" t="s">
        <v>16</v>
      </c>
      <c r="G11" s="21" t="s">
        <v>17</v>
      </c>
      <c r="H11" s="21" t="s">
        <v>18</v>
      </c>
      <c r="I11" s="21" t="s">
        <v>19</v>
      </c>
      <c r="J11" s="21" t="s">
        <v>20</v>
      </c>
      <c r="K11" s="21" t="s">
        <v>21</v>
      </c>
      <c r="L11" s="22" t="s">
        <v>22</v>
      </c>
    </row>
    <row r="12" ht="12.75" customHeight="1">
      <c r="B12" s="23" t="s">
        <v>23</v>
      </c>
      <c r="C12" s="24"/>
      <c r="D12" s="24"/>
      <c r="E12" s="24"/>
      <c r="F12" s="24"/>
      <c r="G12" s="24"/>
      <c r="H12" s="24"/>
      <c r="I12" s="24"/>
      <c r="J12" s="24"/>
      <c r="K12" s="25" t="s">
        <v>24</v>
      </c>
      <c r="L12" s="26">
        <v>18249.0</v>
      </c>
    </row>
    <row r="13" ht="12.75" customHeight="1">
      <c r="B13" s="23"/>
      <c r="C13" s="24"/>
      <c r="D13" s="24"/>
      <c r="E13" s="27"/>
      <c r="F13" s="24"/>
      <c r="G13" s="24"/>
      <c r="H13" s="24"/>
      <c r="I13" s="24"/>
      <c r="J13" s="24"/>
      <c r="K13" s="25" t="s">
        <v>25</v>
      </c>
      <c r="L13" s="26">
        <v>44612.0</v>
      </c>
    </row>
    <row r="14" ht="12.75" customHeight="1">
      <c r="B14" s="28" t="s">
        <v>26</v>
      </c>
      <c r="C14" s="24" t="s">
        <v>27</v>
      </c>
      <c r="D14" s="24" t="s">
        <v>28</v>
      </c>
      <c r="E14" s="24" t="s">
        <v>28</v>
      </c>
      <c r="F14" s="24" t="s">
        <v>28</v>
      </c>
      <c r="G14" s="24" t="s">
        <v>27</v>
      </c>
      <c r="H14" s="24" t="s">
        <v>28</v>
      </c>
      <c r="I14" s="24" t="s">
        <v>28</v>
      </c>
      <c r="J14" s="24" t="s">
        <v>28</v>
      </c>
      <c r="K14" s="24" t="s">
        <v>28</v>
      </c>
      <c r="L14" s="26"/>
    </row>
    <row r="15" ht="12.75" customHeight="1">
      <c r="B15" s="29" t="s">
        <v>29</v>
      </c>
      <c r="C15" s="29">
        <v>4.6</v>
      </c>
      <c r="D15" s="29">
        <v>0.77</v>
      </c>
      <c r="E15" s="29">
        <v>106.0</v>
      </c>
      <c r="F15" s="29">
        <v>0.81</v>
      </c>
      <c r="G15" s="29">
        <v>33.0</v>
      </c>
      <c r="H15" s="29">
        <v>94.0</v>
      </c>
      <c r="I15" s="29">
        <v>12.3</v>
      </c>
      <c r="J15" s="29">
        <v>66.0</v>
      </c>
      <c r="K15" s="29">
        <v>4.4</v>
      </c>
      <c r="L15" s="30">
        <v>72.175</v>
      </c>
    </row>
    <row r="16" ht="12.75" customHeight="1">
      <c r="B16" s="31" t="s">
        <v>30</v>
      </c>
      <c r="C16" s="32" t="s">
        <v>31</v>
      </c>
      <c r="D16" s="32" t="s">
        <v>32</v>
      </c>
      <c r="E16" s="32" t="s">
        <v>32</v>
      </c>
      <c r="F16" s="32" t="s">
        <v>33</v>
      </c>
      <c r="G16" s="32" t="s">
        <v>34</v>
      </c>
      <c r="H16" s="32" t="s">
        <v>35</v>
      </c>
      <c r="I16" s="32" t="s">
        <v>34</v>
      </c>
      <c r="J16" s="32" t="s">
        <v>36</v>
      </c>
      <c r="K16" s="32" t="s">
        <v>37</v>
      </c>
      <c r="L16" s="32" t="s">
        <v>38</v>
      </c>
    </row>
    <row r="17" ht="12.75" customHeight="1">
      <c r="B17" s="33" t="s">
        <v>39</v>
      </c>
      <c r="C17" s="34">
        <v>10.0</v>
      </c>
      <c r="D17" s="34">
        <v>88.401</v>
      </c>
      <c r="E17" s="34">
        <v>0.0555</v>
      </c>
      <c r="F17" s="34">
        <v>0.1</v>
      </c>
      <c r="G17" s="34"/>
      <c r="H17" s="34"/>
      <c r="I17" s="34"/>
      <c r="J17" s="34"/>
      <c r="K17" s="34"/>
      <c r="L17" s="34"/>
    </row>
    <row r="18" ht="12.75" customHeight="1">
      <c r="B18" s="35" t="s">
        <v>40</v>
      </c>
      <c r="C18" s="36">
        <v>46.0</v>
      </c>
      <c r="D18" s="37">
        <v>68.06877</v>
      </c>
      <c r="E18" s="38">
        <v>5.883</v>
      </c>
      <c r="F18" s="37">
        <v>-2.513306124309698</v>
      </c>
      <c r="G18" s="36">
        <v>33.0</v>
      </c>
      <c r="H18" s="36">
        <v>94.0</v>
      </c>
      <c r="I18" s="36">
        <v>12.3</v>
      </c>
      <c r="J18" s="36">
        <v>66.0</v>
      </c>
      <c r="K18" s="36">
        <v>4.4</v>
      </c>
      <c r="L18" s="36">
        <v>72.175</v>
      </c>
    </row>
    <row r="19" ht="12.75" customHeight="1">
      <c r="B19" s="31" t="s">
        <v>41</v>
      </c>
      <c r="C19" s="32" t="s">
        <v>42</v>
      </c>
      <c r="D19" s="39" t="s">
        <v>43</v>
      </c>
      <c r="E19" s="32" t="s">
        <v>44</v>
      </c>
      <c r="F19" s="32" t="s">
        <v>45</v>
      </c>
      <c r="G19" s="32" t="s">
        <v>34</v>
      </c>
      <c r="H19" s="32" t="s">
        <v>35</v>
      </c>
      <c r="I19" s="32" t="s">
        <v>34</v>
      </c>
      <c r="J19" s="32" t="s">
        <v>36</v>
      </c>
      <c r="K19" s="32" t="s">
        <v>46</v>
      </c>
      <c r="L19" s="32" t="s">
        <v>38</v>
      </c>
    </row>
    <row r="20" ht="12.75" customHeight="1">
      <c r="B20" s="33" t="s">
        <v>47</v>
      </c>
      <c r="C20" s="34">
        <v>-0.0336</v>
      </c>
      <c r="D20" s="34">
        <v>0.0095</v>
      </c>
      <c r="E20" s="34">
        <v>0.1953</v>
      </c>
      <c r="F20" s="34">
        <v>0.0954</v>
      </c>
      <c r="G20" s="34">
        <v>-0.012</v>
      </c>
      <c r="H20" s="34">
        <v>0.0268</v>
      </c>
      <c r="I20" s="34">
        <v>0.3306</v>
      </c>
      <c r="J20" s="34">
        <v>0.0019</v>
      </c>
      <c r="K20" s="34">
        <v>0.0554</v>
      </c>
      <c r="L20" s="34">
        <v>0.0804</v>
      </c>
    </row>
    <row r="21" ht="12.75" customHeight="1">
      <c r="B21" s="40" t="s">
        <v>48</v>
      </c>
      <c r="C21" s="41">
        <v>-1.5455999999999999</v>
      </c>
      <c r="D21" s="41">
        <v>0.646653315</v>
      </c>
      <c r="E21" s="41">
        <v>1.1489499</v>
      </c>
      <c r="F21" s="41">
        <v>-0.2397694042591452</v>
      </c>
      <c r="G21" s="41">
        <v>-0.396</v>
      </c>
      <c r="H21" s="41">
        <v>2.5192</v>
      </c>
      <c r="I21" s="41">
        <v>4.0663800000000005</v>
      </c>
      <c r="J21" s="41">
        <v>0.1254</v>
      </c>
      <c r="K21" s="41">
        <v>0.24376</v>
      </c>
      <c r="L21" s="41">
        <v>5.8028699999999995</v>
      </c>
    </row>
    <row r="22" ht="12.75" customHeight="1">
      <c r="B22" s="42" t="s">
        <v>49</v>
      </c>
      <c r="L22" s="43"/>
    </row>
    <row r="23" ht="12.75" customHeight="1">
      <c r="B23" s="44" t="s">
        <v>50</v>
      </c>
      <c r="C23" s="45">
        <v>10.0</v>
      </c>
      <c r="D23" s="45" t="s">
        <v>51</v>
      </c>
      <c r="E23" s="45">
        <v>120.0</v>
      </c>
      <c r="F23" s="45" t="s">
        <v>52</v>
      </c>
      <c r="L23" s="43"/>
    </row>
    <row r="24" ht="12.75" customHeight="1">
      <c r="B24" s="46" t="s">
        <v>53</v>
      </c>
      <c r="C24" s="34">
        <v>0.0076927</v>
      </c>
      <c r="D24" s="43"/>
      <c r="L24" s="43"/>
    </row>
    <row r="25" ht="12.75" customHeight="1">
      <c r="B25" s="47" t="s">
        <v>54</v>
      </c>
      <c r="C25" s="48">
        <v>-19.9067</v>
      </c>
      <c r="D25" s="49"/>
      <c r="L25" s="43"/>
    </row>
    <row r="26" ht="12.75" customHeight="1">
      <c r="B26" s="50"/>
      <c r="C26" s="50" t="s">
        <v>55</v>
      </c>
      <c r="D26" s="51" t="s">
        <v>56</v>
      </c>
      <c r="E26" s="51" t="s">
        <v>57</v>
      </c>
      <c r="F26" s="51" t="s">
        <v>58</v>
      </c>
      <c r="G26" s="51" t="s">
        <v>59</v>
      </c>
      <c r="H26" s="52" t="s">
        <v>60</v>
      </c>
      <c r="I26" s="53"/>
      <c r="J26" s="53"/>
      <c r="K26" s="54"/>
      <c r="L26" s="55"/>
    </row>
    <row r="27" ht="12.75" customHeight="1">
      <c r="B27" s="56" t="s">
        <v>61</v>
      </c>
      <c r="C27" s="57">
        <v>-7.534856189259145</v>
      </c>
      <c r="D27" s="58">
        <v>0.09998318652536353</v>
      </c>
      <c r="E27" s="59">
        <v>60.235342019686385</v>
      </c>
      <c r="F27" s="59">
        <v>59.105590734959584</v>
      </c>
      <c r="G27" s="58">
        <v>0.10178233779438517</v>
      </c>
      <c r="H27" s="60"/>
      <c r="I27" s="61"/>
      <c r="J27" s="61"/>
      <c r="K27" s="61"/>
      <c r="L27" s="62"/>
    </row>
    <row r="28" ht="12.75" customHeight="1">
      <c r="B28" s="63" t="s">
        <v>62</v>
      </c>
      <c r="C28" s="54"/>
      <c r="D28" s="64"/>
      <c r="E28" s="65">
        <v>-11.939657980313612</v>
      </c>
      <c r="F28" s="65">
        <v>-13.069409265040413</v>
      </c>
      <c r="G28" s="64"/>
      <c r="H28" s="66"/>
      <c r="I28" s="54"/>
      <c r="J28" s="54"/>
      <c r="K28" s="54"/>
      <c r="L28" s="54"/>
    </row>
    <row r="29" ht="12.75" customHeight="1">
      <c r="E29" s="54"/>
      <c r="F29" s="54"/>
      <c r="G29" s="54"/>
      <c r="H29" s="54"/>
      <c r="I29" s="54"/>
      <c r="J29" s="54"/>
      <c r="K29" s="54"/>
      <c r="L29" s="54"/>
    </row>
    <row r="30" ht="12.75" customHeight="1">
      <c r="C30" s="67" t="s">
        <v>63</v>
      </c>
      <c r="E30" s="54"/>
      <c r="F30" s="54"/>
      <c r="G30" s="54"/>
      <c r="H30" s="54"/>
      <c r="I30" s="54"/>
      <c r="J30" s="54"/>
      <c r="K30" s="54"/>
      <c r="L30" s="54"/>
    </row>
    <row r="31" ht="12.75" customHeight="1">
      <c r="C31" s="68" t="s">
        <v>64</v>
      </c>
      <c r="E31" s="54"/>
      <c r="G31" s="54"/>
      <c r="H31" s="54"/>
      <c r="I31" s="54"/>
      <c r="J31" s="54"/>
      <c r="K31" s="54"/>
      <c r="L31" s="54"/>
    </row>
    <row r="32" ht="12.75" customHeight="1">
      <c r="C32" s="68" t="s">
        <v>65</v>
      </c>
      <c r="E32" s="64"/>
      <c r="F32" s="64"/>
      <c r="G32" s="64"/>
      <c r="H32" s="54"/>
      <c r="I32" s="54"/>
      <c r="J32" s="54"/>
      <c r="K32" s="54"/>
      <c r="L32" s="54"/>
    </row>
    <row r="33" ht="12.75" customHeight="1">
      <c r="C33" s="68" t="s">
        <v>66</v>
      </c>
    </row>
    <row r="34" ht="12.75" customHeight="1">
      <c r="C34" s="68" t="s">
        <v>67</v>
      </c>
      <c r="D34" s="67"/>
      <c r="E34" s="67"/>
      <c r="F34" s="67"/>
      <c r="G34" s="67"/>
      <c r="H34" s="67"/>
    </row>
    <row r="35" ht="12.75" customHeight="1">
      <c r="C35" s="68" t="s">
        <v>68</v>
      </c>
      <c r="D35" s="67"/>
      <c r="E35" s="67"/>
      <c r="F35" s="67"/>
      <c r="G35" s="67"/>
      <c r="H35" s="67"/>
    </row>
    <row r="36" ht="12.75" customHeight="1">
      <c r="D36" s="67"/>
      <c r="E36" s="67"/>
      <c r="F36" s="67"/>
      <c r="G36" s="67"/>
      <c r="H36" s="67"/>
    </row>
    <row r="37" ht="12.75" customHeight="1">
      <c r="C37" s="69" t="s">
        <v>69</v>
      </c>
      <c r="D37" s="67"/>
      <c r="E37" s="67"/>
      <c r="F37" s="67"/>
      <c r="G37" s="67"/>
      <c r="H37" s="67"/>
    </row>
    <row r="38" ht="12.75" customHeight="1">
      <c r="C38" s="70" t="s">
        <v>70</v>
      </c>
      <c r="D38" s="67"/>
      <c r="E38" s="67"/>
      <c r="F38" s="67"/>
      <c r="G38" s="67"/>
      <c r="H38" s="67"/>
    </row>
    <row r="39" ht="12.75" customHeight="1">
      <c r="C39" s="71" t="s">
        <v>71</v>
      </c>
    </row>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c r="C56" s="72" t="s">
        <v>72</v>
      </c>
    </row>
    <row r="57" ht="12.75" customHeight="1">
      <c r="C57" s="72" t="s">
        <v>73</v>
      </c>
    </row>
    <row r="58" ht="12.75" customHeight="1">
      <c r="C58" s="72" t="s">
        <v>74</v>
      </c>
    </row>
    <row r="59" ht="12.75" customHeight="1">
      <c r="C59" s="72" t="s">
        <v>75</v>
      </c>
    </row>
    <row r="60" ht="12.75" customHeight="1">
      <c r="C60" s="72" t="s">
        <v>76</v>
      </c>
    </row>
    <row r="61" ht="12.75" customHeight="1">
      <c r="C61" s="72" t="s">
        <v>77</v>
      </c>
    </row>
    <row r="62" ht="12.75" customHeight="1">
      <c r="C62" s="72" t="s">
        <v>78</v>
      </c>
    </row>
    <row r="63" ht="12.75" customHeight="1">
      <c r="C63" s="72" t="s">
        <v>79</v>
      </c>
    </row>
    <row r="64" ht="12.75" customHeight="1">
      <c r="C64" s="73" t="s">
        <v>80</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B2:L2"/>
    <mergeCell ref="B3:L3"/>
    <mergeCell ref="B4:L4"/>
    <mergeCell ref="B6:L6"/>
    <mergeCell ref="B10:L10"/>
  </mergeCells>
  <hyperlinks>
    <hyperlink r:id="rId1" ref="B5"/>
    <hyperlink r:id="rId2" ref="E7"/>
    <hyperlink r:id="rId3" ref="C8"/>
    <hyperlink r:id="rId4" ref="H9"/>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81</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hidden="1" customHeight="1">
      <c r="A5" s="84" t="s">
        <v>88</v>
      </c>
      <c r="B5" s="69">
        <v>4.6</v>
      </c>
      <c r="C5" s="69">
        <v>0.93</v>
      </c>
      <c r="D5" s="69">
        <v>94.0</v>
      </c>
      <c r="E5" s="69">
        <v>3.24</v>
      </c>
      <c r="F5" s="69">
        <v>27.0</v>
      </c>
      <c r="G5" s="69">
        <v>96.0</v>
      </c>
      <c r="H5" s="69">
        <v>13.0</v>
      </c>
      <c r="I5" s="69">
        <v>141.0</v>
      </c>
      <c r="J5" s="69">
        <v>6.2</v>
      </c>
      <c r="K5" s="69">
        <v>57.0</v>
      </c>
      <c r="L5" s="82"/>
      <c r="M5" s="83"/>
      <c r="N5" s="83"/>
      <c r="O5" s="83"/>
      <c r="P5" s="83"/>
      <c r="Q5" s="83"/>
      <c r="R5" s="83"/>
      <c r="S5" s="83"/>
      <c r="T5" s="83"/>
      <c r="U5" s="83"/>
      <c r="V5" s="83"/>
      <c r="W5" s="83"/>
      <c r="X5" s="83"/>
      <c r="Y5" s="83"/>
      <c r="Z5" s="83"/>
    </row>
    <row r="6" ht="12.75" customHeight="1">
      <c r="A6" s="29" t="s">
        <v>29</v>
      </c>
      <c r="B6" s="85">
        <v>4.4</v>
      </c>
      <c r="C6" s="85">
        <v>0.93</v>
      </c>
      <c r="D6" s="85">
        <v>95.0</v>
      </c>
      <c r="E6" s="85">
        <v>1.55</v>
      </c>
      <c r="F6" s="85">
        <v>28.0</v>
      </c>
      <c r="G6" s="85">
        <v>94.0</v>
      </c>
      <c r="H6" s="85">
        <v>12.8</v>
      </c>
      <c r="I6" s="85">
        <v>160.0</v>
      </c>
      <c r="J6" s="85">
        <v>5.5</v>
      </c>
      <c r="K6" s="85">
        <v>29.0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89</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44</v>
      </c>
      <c r="C9" s="37">
        <f t="shared" si="1"/>
        <v>82.212</v>
      </c>
      <c r="D9" s="38">
        <f t="shared" si="1"/>
        <v>5.2725</v>
      </c>
      <c r="E9" s="37">
        <f>LN(E6*E8)</f>
        <v>-1.864330162</v>
      </c>
      <c r="F9" s="36">
        <f t="shared" ref="F9:K9" si="2">F6</f>
        <v>28</v>
      </c>
      <c r="G9" s="36">
        <f t="shared" si="2"/>
        <v>94</v>
      </c>
      <c r="H9" s="36">
        <f t="shared" si="2"/>
        <v>12.8</v>
      </c>
      <c r="I9" s="36">
        <f t="shared" si="2"/>
        <v>160</v>
      </c>
      <c r="J9" s="36">
        <f t="shared" si="2"/>
        <v>5.5</v>
      </c>
      <c r="K9" s="36">
        <f t="shared" si="2"/>
        <v>29</v>
      </c>
      <c r="L9" s="88"/>
      <c r="M9" s="88"/>
      <c r="N9" s="88"/>
      <c r="O9" s="88"/>
      <c r="P9" s="88"/>
      <c r="Q9" s="88"/>
      <c r="R9" s="88"/>
      <c r="S9" s="88"/>
      <c r="T9" s="88"/>
      <c r="U9" s="88"/>
      <c r="V9" s="88"/>
      <c r="W9" s="88"/>
      <c r="X9" s="88"/>
      <c r="Y9" s="88"/>
      <c r="Z9" s="88"/>
    </row>
    <row r="10" ht="12.75" customHeight="1">
      <c r="A10" s="31" t="s">
        <v>41</v>
      </c>
      <c r="B10" s="32" t="s">
        <v>42</v>
      </c>
      <c r="C10" s="39" t="s">
        <v>90</v>
      </c>
      <c r="D10" s="32" t="s">
        <v>44</v>
      </c>
      <c r="E10" s="32" t="s">
        <v>45</v>
      </c>
      <c r="F10" s="32" t="s">
        <v>34</v>
      </c>
      <c r="G10" s="32" t="s">
        <v>35</v>
      </c>
      <c r="H10" s="32" t="s">
        <v>34</v>
      </c>
      <c r="I10" s="32" t="s">
        <v>36</v>
      </c>
      <c r="J10" s="32" t="s">
        <v>91</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-1.4784</v>
      </c>
      <c r="C12" s="41">
        <f t="shared" si="3"/>
        <v>0.781014</v>
      </c>
      <c r="D12" s="41">
        <f t="shared" si="3"/>
        <v>1.02971925</v>
      </c>
      <c r="E12" s="41">
        <f t="shared" si="3"/>
        <v>-0.1778570975</v>
      </c>
      <c r="F12" s="41">
        <f t="shared" si="3"/>
        <v>-0.336</v>
      </c>
      <c r="G12" s="41">
        <f t="shared" si="3"/>
        <v>2.5192</v>
      </c>
      <c r="H12" s="41">
        <f t="shared" si="3"/>
        <v>4.23168</v>
      </c>
      <c r="I12" s="41">
        <f t="shared" si="3"/>
        <v>0.304</v>
      </c>
      <c r="J12" s="41">
        <f t="shared" si="3"/>
        <v>0.3047</v>
      </c>
      <c r="K12" s="41">
        <f t="shared" si="3"/>
        <v>2.3316</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-10.39704385</v>
      </c>
      <c r="C18" s="92">
        <f>1-EXP(-EXP(B18)*(EXP(B15*D14)-1)/B15)</f>
        <v>0.006001531407</v>
      </c>
      <c r="D18" s="90">
        <f>141.50225 + LN(-0.00553*LN(1 -C18))/0.09165</f>
        <v>29.00579856</v>
      </c>
      <c r="E18" s="90">
        <f>D18/(1+1.28047*EXP(0.0344329*(-182.344+D18)))</f>
        <v>28.81786303</v>
      </c>
      <c r="F18" s="92">
        <f>1 - EXP(-0.000520363523*EXP(0.090165*E18))</f>
        <v>0.006970170886</v>
      </c>
      <c r="G18" s="61"/>
      <c r="H18" s="61"/>
      <c r="I18" s="61"/>
      <c r="J18" s="61"/>
      <c r="K18" s="62"/>
      <c r="L18" s="54"/>
      <c r="M18" s="54"/>
      <c r="N18" s="54"/>
      <c r="O18" s="54"/>
      <c r="P18" s="54"/>
      <c r="Q18" s="54"/>
      <c r="R18" s="54"/>
      <c r="S18" s="54"/>
      <c r="T18" s="54"/>
      <c r="U18" s="54"/>
      <c r="V18" s="54"/>
      <c r="W18" s="54"/>
      <c r="X18" s="54"/>
      <c r="Y18" s="54"/>
      <c r="Z18" s="54"/>
    </row>
    <row r="19" ht="12.75" customHeight="1">
      <c r="A19" s="84" t="s">
        <v>88</v>
      </c>
      <c r="B19" s="69">
        <v>4.6</v>
      </c>
      <c r="C19" s="69">
        <v>0.93</v>
      </c>
      <c r="D19" s="69">
        <v>94.0</v>
      </c>
      <c r="E19" s="69">
        <v>3.24</v>
      </c>
      <c r="F19" s="69">
        <v>27.0</v>
      </c>
      <c r="G19" s="69">
        <v>96.0</v>
      </c>
      <c r="H19" s="69">
        <v>13.0</v>
      </c>
      <c r="I19" s="69">
        <v>141.0</v>
      </c>
      <c r="J19" s="69">
        <v>6.2</v>
      </c>
      <c r="K19" s="69">
        <v>57.0</v>
      </c>
      <c r="L19" s="67"/>
    </row>
    <row r="20" ht="12.75" hidden="1" customHeight="1">
      <c r="A20" s="84" t="s">
        <v>92</v>
      </c>
      <c r="B20" s="93">
        <f t="shared" ref="B20:J20" si="4">(B19-B6)/B6</f>
        <v>0.04545454545</v>
      </c>
      <c r="C20" s="93">
        <f t="shared" si="4"/>
        <v>0</v>
      </c>
      <c r="D20" s="93">
        <f t="shared" si="4"/>
        <v>-0.01052631579</v>
      </c>
      <c r="E20" s="93">
        <f t="shared" si="4"/>
        <v>1.090322581</v>
      </c>
      <c r="F20" s="93">
        <f t="shared" si="4"/>
        <v>-0.03571428571</v>
      </c>
      <c r="G20" s="93">
        <f t="shared" si="4"/>
        <v>0.02127659574</v>
      </c>
      <c r="H20" s="93">
        <f t="shared" si="4"/>
        <v>0.015625</v>
      </c>
      <c r="I20" s="93">
        <f t="shared" si="4"/>
        <v>-0.11875</v>
      </c>
      <c r="J20" s="93">
        <f t="shared" si="4"/>
        <v>0.1272727273</v>
      </c>
      <c r="L20" s="67"/>
    </row>
    <row r="21" ht="12.75" hidden="1" customHeight="1">
      <c r="A21" s="84"/>
      <c r="L21" s="67"/>
    </row>
    <row r="22" ht="12.75" customHeight="1">
      <c r="A22" s="84"/>
      <c r="B22" s="69" t="s">
        <v>93</v>
      </c>
      <c r="C22" s="94">
        <v>1239.0</v>
      </c>
      <c r="L22" s="67"/>
    </row>
    <row r="23" ht="12.75" customHeight="1">
      <c r="A23" s="84"/>
      <c r="B23" s="69" t="s">
        <v>94</v>
      </c>
      <c r="C23" s="94" t="s">
        <v>95</v>
      </c>
      <c r="L23" s="67">
        <f>51.53-52.11</f>
        <v>-0.58</v>
      </c>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96</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hidden="1" customHeight="1">
      <c r="A5" s="84" t="s">
        <v>88</v>
      </c>
      <c r="B5" s="69">
        <v>4.6</v>
      </c>
      <c r="C5" s="69">
        <v>0.93</v>
      </c>
      <c r="D5" s="69">
        <v>94.0</v>
      </c>
      <c r="E5" s="69">
        <v>3.24</v>
      </c>
      <c r="F5" s="69">
        <v>27.0</v>
      </c>
      <c r="G5" s="69">
        <v>96.0</v>
      </c>
      <c r="H5" s="69">
        <v>13.0</v>
      </c>
      <c r="I5" s="69">
        <v>141.0</v>
      </c>
      <c r="J5" s="69">
        <v>6.2</v>
      </c>
      <c r="K5" s="69">
        <v>57.0</v>
      </c>
      <c r="L5" s="82"/>
      <c r="M5" s="83"/>
      <c r="N5" s="83"/>
      <c r="O5" s="83"/>
      <c r="P5" s="83"/>
      <c r="Q5" s="83"/>
      <c r="R5" s="83"/>
      <c r="S5" s="83"/>
      <c r="T5" s="83"/>
      <c r="U5" s="83"/>
      <c r="V5" s="83"/>
      <c r="W5" s="83"/>
      <c r="X5" s="83"/>
      <c r="Y5" s="83"/>
      <c r="Z5" s="83"/>
    </row>
    <row r="6" ht="12.75" customHeight="1">
      <c r="A6" s="29" t="s">
        <v>29</v>
      </c>
      <c r="B6" s="29">
        <v>4.6</v>
      </c>
      <c r="C6" s="29">
        <v>0.81</v>
      </c>
      <c r="D6" s="29">
        <v>91.0</v>
      </c>
      <c r="E6" s="29">
        <v>1.78</v>
      </c>
      <c r="F6" s="29">
        <v>24.0</v>
      </c>
      <c r="G6" s="29">
        <v>97.0</v>
      </c>
      <c r="H6" s="29">
        <v>13.0</v>
      </c>
      <c r="I6" s="29">
        <v>123.0</v>
      </c>
      <c r="J6" s="29">
        <v>5.7</v>
      </c>
      <c r="K6" s="29">
        <v>57.0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97</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46</v>
      </c>
      <c r="C9" s="37">
        <f t="shared" si="1"/>
        <v>71.604</v>
      </c>
      <c r="D9" s="38">
        <f t="shared" si="1"/>
        <v>5.0505</v>
      </c>
      <c r="E9" s="37">
        <f>LN(E6*E8)</f>
        <v>-1.725971729</v>
      </c>
      <c r="F9" s="36">
        <f t="shared" ref="F9:K9" si="2">F6</f>
        <v>24</v>
      </c>
      <c r="G9" s="36">
        <f t="shared" si="2"/>
        <v>97</v>
      </c>
      <c r="H9" s="36">
        <f t="shared" si="2"/>
        <v>13</v>
      </c>
      <c r="I9" s="36">
        <f t="shared" si="2"/>
        <v>123</v>
      </c>
      <c r="J9" s="36">
        <f t="shared" si="2"/>
        <v>5.7</v>
      </c>
      <c r="K9" s="36">
        <f t="shared" si="2"/>
        <v>57</v>
      </c>
      <c r="L9" s="88"/>
      <c r="M9" s="88"/>
      <c r="N9" s="88"/>
      <c r="O9" s="88"/>
      <c r="P9" s="88"/>
      <c r="Q9" s="88"/>
      <c r="R9" s="88"/>
      <c r="S9" s="88"/>
      <c r="T9" s="88"/>
      <c r="U9" s="88"/>
      <c r="V9" s="88"/>
      <c r="W9" s="88"/>
      <c r="X9" s="88"/>
      <c r="Y9" s="88"/>
      <c r="Z9" s="88"/>
    </row>
    <row r="10" ht="12.75" customHeight="1">
      <c r="A10" s="31" t="s">
        <v>41</v>
      </c>
      <c r="B10" s="32" t="s">
        <v>42</v>
      </c>
      <c r="C10" s="39" t="s">
        <v>98</v>
      </c>
      <c r="D10" s="32" t="s">
        <v>44</v>
      </c>
      <c r="E10" s="32" t="s">
        <v>45</v>
      </c>
      <c r="F10" s="32" t="s">
        <v>34</v>
      </c>
      <c r="G10" s="32" t="s">
        <v>35</v>
      </c>
      <c r="H10" s="32" t="s">
        <v>34</v>
      </c>
      <c r="I10" s="32" t="s">
        <v>36</v>
      </c>
      <c r="J10" s="32" t="s">
        <v>99</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-1.5456</v>
      </c>
      <c r="C12" s="41">
        <f t="shared" si="3"/>
        <v>0.680238</v>
      </c>
      <c r="D12" s="41">
        <f t="shared" si="3"/>
        <v>0.98636265</v>
      </c>
      <c r="E12" s="41">
        <f t="shared" si="3"/>
        <v>-0.1646577029</v>
      </c>
      <c r="F12" s="41">
        <f t="shared" si="3"/>
        <v>-0.288</v>
      </c>
      <c r="G12" s="41">
        <f t="shared" si="3"/>
        <v>2.5996</v>
      </c>
      <c r="H12" s="41">
        <f t="shared" si="3"/>
        <v>4.2978</v>
      </c>
      <c r="I12" s="41">
        <f t="shared" si="3"/>
        <v>0.2337</v>
      </c>
      <c r="J12" s="41">
        <f t="shared" si="3"/>
        <v>0.31578</v>
      </c>
      <c r="K12" s="41">
        <f t="shared" si="3"/>
        <v>4.5828</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-8.208677053</v>
      </c>
      <c r="C18" s="92">
        <f>1-EXP(-EXP(B18)*(EXP(B15*D14)-1)/B15)</f>
        <v>0.05228243855</v>
      </c>
      <c r="D18" s="90">
        <f>141.50225 + LN(-0.00553*LN(1 -C18))/0.09165</f>
        <v>52.88323221</v>
      </c>
      <c r="E18" s="90">
        <f>D18/(1+1.28047*EXP(0.0344329*(-182.344+D18)))</f>
        <v>52.1099617</v>
      </c>
      <c r="F18" s="92">
        <f>1 - EXP(-0.000520363523*EXP(0.090165*E18))</f>
        <v>0.05552535815</v>
      </c>
      <c r="G18" s="61"/>
      <c r="H18" s="61"/>
      <c r="I18" s="61"/>
      <c r="J18" s="61"/>
      <c r="K18" s="62"/>
      <c r="L18" s="54"/>
      <c r="M18" s="54"/>
      <c r="N18" s="54"/>
      <c r="O18" s="54"/>
      <c r="P18" s="54"/>
      <c r="Q18" s="54"/>
      <c r="R18" s="54"/>
      <c r="S18" s="54"/>
      <c r="T18" s="54"/>
      <c r="U18" s="54"/>
      <c r="V18" s="54"/>
      <c r="W18" s="54"/>
      <c r="X18" s="54"/>
      <c r="Y18" s="54"/>
      <c r="Z18" s="54"/>
    </row>
    <row r="19" ht="12.75" customHeight="1">
      <c r="A19" s="84" t="s">
        <v>88</v>
      </c>
      <c r="B19" s="69">
        <v>4.6</v>
      </c>
      <c r="C19" s="69">
        <v>0.93</v>
      </c>
      <c r="D19" s="69">
        <v>94.0</v>
      </c>
      <c r="E19" s="69">
        <v>3.24</v>
      </c>
      <c r="F19" s="69">
        <v>27.0</v>
      </c>
      <c r="G19" s="69">
        <v>96.0</v>
      </c>
      <c r="H19" s="69">
        <v>13.0</v>
      </c>
      <c r="I19" s="69">
        <v>141.0</v>
      </c>
      <c r="J19" s="69">
        <v>6.2</v>
      </c>
      <c r="K19" s="69">
        <v>57.0</v>
      </c>
      <c r="L19" s="67"/>
    </row>
    <row r="20" ht="12.75" hidden="1" customHeight="1">
      <c r="A20" s="84" t="s">
        <v>92</v>
      </c>
      <c r="B20" s="93">
        <f t="shared" ref="B20:J20" si="4">(B19-B6)/B6</f>
        <v>0</v>
      </c>
      <c r="C20" s="93">
        <f t="shared" si="4"/>
        <v>0.1481481481</v>
      </c>
      <c r="D20" s="93">
        <f t="shared" si="4"/>
        <v>0.03296703297</v>
      </c>
      <c r="E20" s="93">
        <f t="shared" si="4"/>
        <v>0.8202247191</v>
      </c>
      <c r="F20" s="93">
        <f t="shared" si="4"/>
        <v>0.125</v>
      </c>
      <c r="G20" s="93">
        <f t="shared" si="4"/>
        <v>-0.01030927835</v>
      </c>
      <c r="H20" s="93">
        <f t="shared" si="4"/>
        <v>0</v>
      </c>
      <c r="I20" s="93">
        <f t="shared" si="4"/>
        <v>0.1463414634</v>
      </c>
      <c r="J20" s="93">
        <f t="shared" si="4"/>
        <v>0.08771929825</v>
      </c>
      <c r="L20" s="67"/>
    </row>
    <row r="21" ht="12.75" hidden="1" customHeight="1">
      <c r="A21" s="84"/>
      <c r="L21" s="67"/>
    </row>
    <row r="22" ht="12.75" customHeight="1">
      <c r="A22" s="84"/>
      <c r="B22" s="69" t="s">
        <v>93</v>
      </c>
      <c r="C22" s="69" t="s">
        <v>95</v>
      </c>
      <c r="L22" s="67"/>
    </row>
    <row r="23" ht="12.75" customHeight="1">
      <c r="A23" s="84"/>
      <c r="B23" s="69" t="s">
        <v>94</v>
      </c>
      <c r="C23" s="69">
        <v>1492.0</v>
      </c>
      <c r="L23" s="67">
        <f>51.53-52.11</f>
        <v>-0.58</v>
      </c>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100</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3"/>
      <c r="B5" s="95" t="s">
        <v>101</v>
      </c>
      <c r="C5" s="96" t="s">
        <v>102</v>
      </c>
      <c r="D5" s="95" t="s">
        <v>101</v>
      </c>
      <c r="E5" s="95" t="s">
        <v>101</v>
      </c>
      <c r="F5" s="97" t="s">
        <v>103</v>
      </c>
      <c r="G5" s="96" t="s">
        <v>102</v>
      </c>
      <c r="H5" s="97" t="s">
        <v>103</v>
      </c>
      <c r="I5" s="95" t="s">
        <v>101</v>
      </c>
      <c r="J5" s="96" t="s">
        <v>102</v>
      </c>
      <c r="K5" s="81">
        <v>56.0</v>
      </c>
      <c r="L5" s="82"/>
      <c r="M5" s="83"/>
      <c r="N5" s="83"/>
      <c r="O5" s="83"/>
      <c r="P5" s="83"/>
      <c r="Q5" s="83"/>
      <c r="R5" s="83"/>
      <c r="S5" s="83"/>
      <c r="T5" s="83"/>
      <c r="U5" s="83"/>
      <c r="V5" s="83"/>
      <c r="W5" s="83"/>
      <c r="X5" s="83"/>
      <c r="Y5" s="83"/>
      <c r="Z5" s="83"/>
    </row>
    <row r="6" ht="12.75" customHeight="1">
      <c r="A6" s="29" t="s">
        <v>29</v>
      </c>
      <c r="B6" s="29">
        <v>4.1</v>
      </c>
      <c r="C6" s="29">
        <v>0.8</v>
      </c>
      <c r="D6" s="29">
        <v>87.7</v>
      </c>
      <c r="E6" s="29">
        <v>0.2</v>
      </c>
      <c r="F6" s="29">
        <v>23.5</v>
      </c>
      <c r="G6" s="29">
        <v>91.1</v>
      </c>
      <c r="H6" s="29">
        <v>14.1</v>
      </c>
      <c r="I6" s="29">
        <v>182.2</v>
      </c>
      <c r="J6" s="29">
        <v>5.3</v>
      </c>
      <c r="K6" s="29">
        <v>52.0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104</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41</v>
      </c>
      <c r="C9" s="37">
        <f t="shared" si="1"/>
        <v>70.72</v>
      </c>
      <c r="D9" s="38">
        <f t="shared" si="1"/>
        <v>4.86735</v>
      </c>
      <c r="E9" s="37">
        <f>LN(E6*E8)</f>
        <v>-3.912023005</v>
      </c>
      <c r="F9" s="36">
        <f t="shared" ref="F9:K9" si="2">F6</f>
        <v>23.5</v>
      </c>
      <c r="G9" s="36">
        <f t="shared" si="2"/>
        <v>91.1</v>
      </c>
      <c r="H9" s="36">
        <f t="shared" si="2"/>
        <v>14.1</v>
      </c>
      <c r="I9" s="36">
        <f t="shared" si="2"/>
        <v>182.2</v>
      </c>
      <c r="J9" s="36">
        <f t="shared" si="2"/>
        <v>5.3</v>
      </c>
      <c r="K9" s="36">
        <f t="shared" si="2"/>
        <v>52</v>
      </c>
      <c r="L9" s="88"/>
      <c r="M9" s="88"/>
      <c r="N9" s="88"/>
      <c r="O9" s="88"/>
      <c r="P9" s="88"/>
      <c r="Q9" s="88"/>
      <c r="R9" s="88"/>
      <c r="S9" s="88"/>
      <c r="T9" s="88"/>
      <c r="U9" s="88"/>
      <c r="V9" s="88"/>
      <c r="W9" s="88"/>
      <c r="X9" s="88"/>
      <c r="Y9" s="88"/>
      <c r="Z9" s="88"/>
    </row>
    <row r="10" ht="12.75" customHeight="1">
      <c r="A10" s="31" t="s">
        <v>41</v>
      </c>
      <c r="B10" s="32" t="s">
        <v>42</v>
      </c>
      <c r="C10" s="39" t="s">
        <v>105</v>
      </c>
      <c r="D10" s="32" t="s">
        <v>44</v>
      </c>
      <c r="E10" s="32" t="s">
        <v>45</v>
      </c>
      <c r="F10" s="32" t="s">
        <v>34</v>
      </c>
      <c r="G10" s="32" t="s">
        <v>35</v>
      </c>
      <c r="H10" s="32" t="s">
        <v>34</v>
      </c>
      <c r="I10" s="32" t="s">
        <v>36</v>
      </c>
      <c r="J10" s="32" t="s">
        <v>106</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-1.3776</v>
      </c>
      <c r="C12" s="41">
        <f t="shared" si="3"/>
        <v>0.67184</v>
      </c>
      <c r="D12" s="41">
        <f t="shared" si="3"/>
        <v>0.950593455</v>
      </c>
      <c r="E12" s="41">
        <f t="shared" si="3"/>
        <v>-0.3732069947</v>
      </c>
      <c r="F12" s="41">
        <f t="shared" si="3"/>
        <v>-0.282</v>
      </c>
      <c r="G12" s="41">
        <f t="shared" si="3"/>
        <v>2.44148</v>
      </c>
      <c r="H12" s="41">
        <f t="shared" si="3"/>
        <v>4.66146</v>
      </c>
      <c r="I12" s="41">
        <f t="shared" si="3"/>
        <v>0.34618</v>
      </c>
      <c r="J12" s="41">
        <f t="shared" si="3"/>
        <v>0.29362</v>
      </c>
      <c r="K12" s="41">
        <f t="shared" si="3"/>
        <v>4.1808</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-8.39353354</v>
      </c>
      <c r="C18" s="92">
        <f>1-EXP(-EXP(B18)*(EXP(B15*D14)-1)/B15)</f>
        <v>0.04365415446</v>
      </c>
      <c r="D18" s="90">
        <f>141.50225 + LN(-0.00553*LN(1 -C18))/0.09165</f>
        <v>50.86624927</v>
      </c>
      <c r="E18" s="90">
        <f>D18/(1+1.28047*EXP(0.0344329*(-182.344+D18)))</f>
        <v>50.17169298</v>
      </c>
      <c r="F18" s="92">
        <f>1 - EXP(-0.000520363523*EXP(0.090165*E18))</f>
        <v>0.04683429236</v>
      </c>
      <c r="G18" s="61"/>
      <c r="H18" s="61"/>
      <c r="I18" s="61"/>
      <c r="J18" s="61"/>
      <c r="K18" s="62"/>
      <c r="L18" s="54"/>
      <c r="M18" s="54"/>
      <c r="N18" s="54"/>
      <c r="O18" s="54"/>
      <c r="P18" s="54"/>
      <c r="Q18" s="54"/>
      <c r="R18" s="54"/>
      <c r="S18" s="54"/>
      <c r="T18" s="54"/>
      <c r="U18" s="54"/>
      <c r="V18" s="54"/>
      <c r="W18" s="54"/>
      <c r="X18" s="54"/>
      <c r="Y18" s="54"/>
      <c r="Z18" s="54"/>
    </row>
    <row r="19" ht="12.75" customHeight="1">
      <c r="A19" s="84"/>
      <c r="L19" s="67"/>
    </row>
    <row r="20" ht="12.75" customHeight="1">
      <c r="A20" s="84"/>
      <c r="B20" s="69" t="s">
        <v>93</v>
      </c>
      <c r="C20" s="69">
        <v>1492.0</v>
      </c>
      <c r="L20" s="67"/>
    </row>
    <row r="21" ht="12.75" customHeight="1">
      <c r="A21" s="84"/>
      <c r="B21" s="69" t="s">
        <v>107</v>
      </c>
      <c r="C21" s="69" t="s">
        <v>108</v>
      </c>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109</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3"/>
      <c r="B5" s="95" t="s">
        <v>101</v>
      </c>
      <c r="C5" s="96" t="s">
        <v>102</v>
      </c>
      <c r="D5" s="95" t="s">
        <v>101</v>
      </c>
      <c r="E5" s="95" t="s">
        <v>101</v>
      </c>
      <c r="F5" s="97" t="s">
        <v>103</v>
      </c>
      <c r="G5" s="96" t="s">
        <v>102</v>
      </c>
      <c r="H5" s="97" t="s">
        <v>103</v>
      </c>
      <c r="I5" s="95" t="s">
        <v>101</v>
      </c>
      <c r="J5" s="96" t="s">
        <v>102</v>
      </c>
      <c r="K5" s="81">
        <v>56.0</v>
      </c>
      <c r="L5" s="82"/>
      <c r="M5" s="83"/>
      <c r="N5" s="83"/>
      <c r="O5" s="83"/>
      <c r="P5" s="83"/>
      <c r="Q5" s="83"/>
      <c r="R5" s="83"/>
      <c r="S5" s="83"/>
      <c r="T5" s="83"/>
      <c r="U5" s="83"/>
      <c r="V5" s="83"/>
      <c r="W5" s="83"/>
      <c r="X5" s="83"/>
      <c r="Y5" s="83"/>
      <c r="Z5" s="83"/>
    </row>
    <row r="6" ht="12.75" customHeight="1">
      <c r="A6" s="29" t="s">
        <v>29</v>
      </c>
      <c r="B6" s="29">
        <v>4.9</v>
      </c>
      <c r="C6" s="29">
        <v>0.85</v>
      </c>
      <c r="D6" s="29">
        <v>90.0</v>
      </c>
      <c r="E6" s="29">
        <v>0.2</v>
      </c>
      <c r="F6" s="29">
        <v>43.5</v>
      </c>
      <c r="G6" s="29">
        <v>92.8</v>
      </c>
      <c r="H6" s="29">
        <v>11.8</v>
      </c>
      <c r="I6" s="29">
        <v>41.0</v>
      </c>
      <c r="J6" s="29">
        <v>3.4</v>
      </c>
      <c r="K6" s="29">
        <v>52.0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110</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49</v>
      </c>
      <c r="C9" s="37">
        <f t="shared" si="1"/>
        <v>75.14</v>
      </c>
      <c r="D9" s="38">
        <f t="shared" si="1"/>
        <v>4.995</v>
      </c>
      <c r="E9" s="37">
        <f>LN(E6*E8)</f>
        <v>-3.912023005</v>
      </c>
      <c r="F9" s="36">
        <f t="shared" ref="F9:K9" si="2">F6</f>
        <v>43.5</v>
      </c>
      <c r="G9" s="36">
        <f t="shared" si="2"/>
        <v>92.8</v>
      </c>
      <c r="H9" s="36">
        <f t="shared" si="2"/>
        <v>11.8</v>
      </c>
      <c r="I9" s="36">
        <f t="shared" si="2"/>
        <v>41</v>
      </c>
      <c r="J9" s="36">
        <f t="shared" si="2"/>
        <v>3.4</v>
      </c>
      <c r="K9" s="36">
        <f t="shared" si="2"/>
        <v>52</v>
      </c>
      <c r="L9" s="88"/>
      <c r="M9" s="88"/>
      <c r="N9" s="88"/>
      <c r="O9" s="88"/>
      <c r="P9" s="88"/>
      <c r="Q9" s="88"/>
      <c r="R9" s="88"/>
      <c r="S9" s="88"/>
      <c r="T9" s="88"/>
      <c r="U9" s="88"/>
      <c r="V9" s="88"/>
      <c r="W9" s="88"/>
      <c r="X9" s="88"/>
      <c r="Y9" s="88"/>
      <c r="Z9" s="88"/>
    </row>
    <row r="10" ht="12.75" customHeight="1">
      <c r="A10" s="31" t="s">
        <v>41</v>
      </c>
      <c r="B10" s="32" t="s">
        <v>42</v>
      </c>
      <c r="C10" s="39" t="s">
        <v>111</v>
      </c>
      <c r="D10" s="32" t="s">
        <v>44</v>
      </c>
      <c r="E10" s="32" t="s">
        <v>45</v>
      </c>
      <c r="F10" s="32" t="s">
        <v>34</v>
      </c>
      <c r="G10" s="32" t="s">
        <v>35</v>
      </c>
      <c r="H10" s="32" t="s">
        <v>34</v>
      </c>
      <c r="I10" s="32" t="s">
        <v>36</v>
      </c>
      <c r="J10" s="32" t="s">
        <v>112</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-1.6464</v>
      </c>
      <c r="C12" s="41">
        <f t="shared" si="3"/>
        <v>0.71383</v>
      </c>
      <c r="D12" s="41">
        <f t="shared" si="3"/>
        <v>0.9755235</v>
      </c>
      <c r="E12" s="41">
        <f t="shared" si="3"/>
        <v>-0.3732069947</v>
      </c>
      <c r="F12" s="41">
        <f t="shared" si="3"/>
        <v>-0.522</v>
      </c>
      <c r="G12" s="41">
        <f t="shared" si="3"/>
        <v>2.48704</v>
      </c>
      <c r="H12" s="41">
        <f t="shared" si="3"/>
        <v>3.90108</v>
      </c>
      <c r="I12" s="41">
        <f t="shared" si="3"/>
        <v>0.0779</v>
      </c>
      <c r="J12" s="41">
        <f t="shared" si="3"/>
        <v>0.18836</v>
      </c>
      <c r="K12" s="41">
        <f t="shared" si="3"/>
        <v>4.1808</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-9.923773495</v>
      </c>
      <c r="C18" s="92">
        <f>1-EXP(-EXP(B18)*(EXP(B15*D14)-1)/B15)</f>
        <v>0.009616359507</v>
      </c>
      <c r="D18" s="90">
        <f>141.50225 + LN(-0.00553*LN(1 -C18))/0.09165</f>
        <v>34.16968675</v>
      </c>
      <c r="E18" s="90">
        <f>D18/(1+1.28047*EXP(0.0344329*(-182.344+D18)))</f>
        <v>33.90554399</v>
      </c>
      <c r="F18" s="92">
        <f>1 - EXP(-0.000520363523*EXP(0.090165*E18))</f>
        <v>0.0110048701</v>
      </c>
      <c r="G18" s="61"/>
      <c r="H18" s="61"/>
      <c r="I18" s="61"/>
      <c r="J18" s="61"/>
      <c r="K18" s="62"/>
      <c r="L18" s="54"/>
      <c r="M18" s="54"/>
      <c r="N18" s="54"/>
      <c r="O18" s="54"/>
      <c r="P18" s="54"/>
      <c r="Q18" s="54"/>
      <c r="R18" s="54"/>
      <c r="S18" s="54"/>
      <c r="T18" s="54"/>
      <c r="U18" s="54"/>
      <c r="V18" s="54"/>
      <c r="W18" s="54"/>
      <c r="X18" s="54"/>
      <c r="Y18" s="54"/>
      <c r="Z18" s="54"/>
    </row>
    <row r="19" ht="12.75" customHeight="1">
      <c r="A19" s="84"/>
      <c r="L19" s="67"/>
    </row>
    <row r="20" ht="12.75" customHeight="1">
      <c r="A20" s="84"/>
      <c r="B20" s="69" t="s">
        <v>93</v>
      </c>
      <c r="C20" s="69">
        <v>1492.0</v>
      </c>
      <c r="L20" s="67"/>
    </row>
    <row r="21" ht="12.75" customHeight="1">
      <c r="A21" s="84"/>
      <c r="B21" s="69" t="s">
        <v>107</v>
      </c>
      <c r="C21" s="69" t="s">
        <v>108</v>
      </c>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113</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hidden="1" customHeight="1">
      <c r="A5" s="84" t="s">
        <v>88</v>
      </c>
      <c r="B5" s="69">
        <v>4.6</v>
      </c>
      <c r="C5" s="69">
        <v>0.93</v>
      </c>
      <c r="D5" s="69">
        <v>94.0</v>
      </c>
      <c r="E5" s="69">
        <v>3.24</v>
      </c>
      <c r="F5" s="69">
        <v>27.0</v>
      </c>
      <c r="G5" s="69">
        <v>96.0</v>
      </c>
      <c r="H5" s="69">
        <v>13.0</v>
      </c>
      <c r="I5" s="69">
        <v>141.0</v>
      </c>
      <c r="J5" s="69">
        <v>6.2</v>
      </c>
      <c r="K5" s="69">
        <v>57.0</v>
      </c>
      <c r="L5" s="82"/>
      <c r="M5" s="83"/>
      <c r="N5" s="83"/>
      <c r="O5" s="83"/>
      <c r="P5" s="83"/>
      <c r="Q5" s="83"/>
      <c r="R5" s="83"/>
      <c r="S5" s="83"/>
      <c r="T5" s="83"/>
      <c r="U5" s="83"/>
      <c r="V5" s="83"/>
      <c r="W5" s="83"/>
      <c r="X5" s="83"/>
      <c r="Y5" s="83"/>
      <c r="Z5" s="83"/>
    </row>
    <row r="6" ht="12.75" customHeight="1">
      <c r="A6" s="29" t="s">
        <v>29</v>
      </c>
      <c r="B6" s="29">
        <v>4.7</v>
      </c>
      <c r="C6" s="29">
        <v>0.83</v>
      </c>
      <c r="D6" s="29">
        <v>92.0</v>
      </c>
      <c r="E6" s="29">
        <v>1.51</v>
      </c>
      <c r="F6" s="29">
        <v>26.0</v>
      </c>
      <c r="G6" s="29">
        <v>95.0</v>
      </c>
      <c r="H6" s="29">
        <v>13.1</v>
      </c>
      <c r="I6" s="29">
        <v>126.0</v>
      </c>
      <c r="J6" s="29">
        <v>5.8</v>
      </c>
      <c r="K6" s="29">
        <v>57.0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114</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47</v>
      </c>
      <c r="C9" s="37">
        <f t="shared" si="1"/>
        <v>73.372</v>
      </c>
      <c r="D9" s="38">
        <f t="shared" si="1"/>
        <v>5.106</v>
      </c>
      <c r="E9" s="37">
        <f>LN(E6*E8)</f>
        <v>-1.890475442</v>
      </c>
      <c r="F9" s="36">
        <f t="shared" ref="F9:K9" si="2">F6</f>
        <v>26</v>
      </c>
      <c r="G9" s="36">
        <f t="shared" si="2"/>
        <v>95</v>
      </c>
      <c r="H9" s="36">
        <f t="shared" si="2"/>
        <v>13.1</v>
      </c>
      <c r="I9" s="36">
        <f t="shared" si="2"/>
        <v>126</v>
      </c>
      <c r="J9" s="36">
        <f t="shared" si="2"/>
        <v>5.8</v>
      </c>
      <c r="K9" s="36">
        <f t="shared" si="2"/>
        <v>57</v>
      </c>
      <c r="L9" s="88"/>
      <c r="M9" s="88"/>
      <c r="N9" s="88"/>
      <c r="O9" s="88"/>
      <c r="P9" s="88"/>
      <c r="Q9" s="88"/>
      <c r="R9" s="88"/>
      <c r="S9" s="88"/>
      <c r="T9" s="88"/>
      <c r="U9" s="88"/>
      <c r="V9" s="88"/>
      <c r="W9" s="88"/>
      <c r="X9" s="88"/>
      <c r="Y9" s="88"/>
      <c r="Z9" s="88"/>
    </row>
    <row r="10" ht="12.75" customHeight="1">
      <c r="A10" s="31" t="s">
        <v>41</v>
      </c>
      <c r="B10" s="32" t="s">
        <v>42</v>
      </c>
      <c r="C10" s="39" t="s">
        <v>115</v>
      </c>
      <c r="D10" s="32" t="s">
        <v>44</v>
      </c>
      <c r="E10" s="32" t="s">
        <v>45</v>
      </c>
      <c r="F10" s="32" t="s">
        <v>34</v>
      </c>
      <c r="G10" s="32" t="s">
        <v>35</v>
      </c>
      <c r="H10" s="32" t="s">
        <v>34</v>
      </c>
      <c r="I10" s="32" t="s">
        <v>36</v>
      </c>
      <c r="J10" s="32" t="s">
        <v>116</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-1.5792</v>
      </c>
      <c r="C12" s="41">
        <f t="shared" si="3"/>
        <v>0.697034</v>
      </c>
      <c r="D12" s="41">
        <f t="shared" si="3"/>
        <v>0.9972018</v>
      </c>
      <c r="E12" s="41">
        <f t="shared" si="3"/>
        <v>-0.1803513572</v>
      </c>
      <c r="F12" s="41">
        <f t="shared" si="3"/>
        <v>-0.312</v>
      </c>
      <c r="G12" s="41">
        <f t="shared" si="3"/>
        <v>2.546</v>
      </c>
      <c r="H12" s="41">
        <f t="shared" si="3"/>
        <v>4.33086</v>
      </c>
      <c r="I12" s="41">
        <f t="shared" si="3"/>
        <v>0.2394</v>
      </c>
      <c r="J12" s="41">
        <f t="shared" si="3"/>
        <v>0.32132</v>
      </c>
      <c r="K12" s="41">
        <f t="shared" si="3"/>
        <v>4.5828</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-8.263635557</v>
      </c>
      <c r="C18" s="92">
        <f>1-EXP(-EXP(B18)*(EXP(B15*D14)-1)/B15)</f>
        <v>0.04955708847</v>
      </c>
      <c r="D18" s="90">
        <f>141.50225 + LN(-0.00553*LN(1 -C18))/0.09165</f>
        <v>52.28357587</v>
      </c>
      <c r="E18" s="90">
        <f>D18/(1+1.28047*EXP(0.0344329*(-182.344+D18)))</f>
        <v>51.53447333</v>
      </c>
      <c r="F18" s="92">
        <f>1 - EXP(-0.000520363523*EXP(0.090165*E18))</f>
        <v>0.05279317001</v>
      </c>
      <c r="G18" s="61"/>
      <c r="H18" s="61"/>
      <c r="I18" s="61"/>
      <c r="J18" s="61"/>
      <c r="K18" s="62"/>
      <c r="L18" s="54"/>
      <c r="M18" s="54"/>
      <c r="N18" s="54"/>
      <c r="O18" s="54"/>
      <c r="P18" s="54"/>
      <c r="Q18" s="54"/>
      <c r="R18" s="54"/>
      <c r="S18" s="54"/>
      <c r="T18" s="54"/>
      <c r="U18" s="54"/>
      <c r="V18" s="54"/>
      <c r="W18" s="54"/>
      <c r="X18" s="54"/>
      <c r="Y18" s="54"/>
      <c r="Z18" s="54"/>
    </row>
    <row r="19" ht="12.75" customHeight="1">
      <c r="A19" s="84" t="s">
        <v>88</v>
      </c>
      <c r="B19" s="69">
        <v>4.6</v>
      </c>
      <c r="C19" s="69">
        <v>0.93</v>
      </c>
      <c r="D19" s="69">
        <v>94.0</v>
      </c>
      <c r="E19" s="69">
        <v>3.24</v>
      </c>
      <c r="F19" s="69">
        <v>27.0</v>
      </c>
      <c r="G19" s="69">
        <v>96.0</v>
      </c>
      <c r="H19" s="69">
        <v>13.0</v>
      </c>
      <c r="I19" s="69">
        <v>141.0</v>
      </c>
      <c r="J19" s="69">
        <v>6.2</v>
      </c>
      <c r="K19" s="69">
        <v>57.0</v>
      </c>
      <c r="L19" s="67"/>
    </row>
    <row r="20" ht="12.75" hidden="1" customHeight="1">
      <c r="A20" s="84" t="s">
        <v>92</v>
      </c>
      <c r="B20" s="93">
        <f t="shared" ref="B20:J20" si="4">(B19-B6)/B6</f>
        <v>-0.02127659574</v>
      </c>
      <c r="C20" s="93">
        <f t="shared" si="4"/>
        <v>0.1204819277</v>
      </c>
      <c r="D20" s="93">
        <f t="shared" si="4"/>
        <v>0.02173913043</v>
      </c>
      <c r="E20" s="93">
        <f t="shared" si="4"/>
        <v>1.145695364</v>
      </c>
      <c r="F20" s="93">
        <f t="shared" si="4"/>
        <v>0.03846153846</v>
      </c>
      <c r="G20" s="93">
        <f t="shared" si="4"/>
        <v>0.01052631579</v>
      </c>
      <c r="H20" s="93">
        <f t="shared" si="4"/>
        <v>-0.007633587786</v>
      </c>
      <c r="I20" s="93">
        <f t="shared" si="4"/>
        <v>0.119047619</v>
      </c>
      <c r="J20" s="93">
        <f t="shared" si="4"/>
        <v>0.06896551724</v>
      </c>
      <c r="L20" s="67"/>
    </row>
    <row r="21" ht="12.75" hidden="1" customHeight="1">
      <c r="A21" s="84"/>
      <c r="L21" s="67"/>
    </row>
    <row r="22" ht="12.75" customHeight="1">
      <c r="A22" s="84"/>
      <c r="B22" s="69" t="s">
        <v>93</v>
      </c>
      <c r="C22" s="69" t="s">
        <v>95</v>
      </c>
      <c r="L22" s="67"/>
    </row>
    <row r="23" ht="12.75" customHeight="1">
      <c r="A23" s="84"/>
      <c r="B23" s="69" t="s">
        <v>94</v>
      </c>
      <c r="C23" s="69">
        <v>1492.0</v>
      </c>
      <c r="L23" s="67">
        <f>54.09-51.53</f>
        <v>2.56</v>
      </c>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117</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3"/>
      <c r="B5" s="95" t="s">
        <v>101</v>
      </c>
      <c r="C5" s="96" t="s">
        <v>102</v>
      </c>
      <c r="D5" s="95" t="s">
        <v>101</v>
      </c>
      <c r="E5" s="95" t="s">
        <v>101</v>
      </c>
      <c r="F5" s="97" t="s">
        <v>103</v>
      </c>
      <c r="G5" s="96" t="s">
        <v>102</v>
      </c>
      <c r="H5" s="97" t="s">
        <v>103</v>
      </c>
      <c r="I5" s="95" t="s">
        <v>101</v>
      </c>
      <c r="J5" s="96" t="s">
        <v>102</v>
      </c>
      <c r="K5" s="81">
        <v>57.0</v>
      </c>
      <c r="L5" s="82"/>
      <c r="M5" s="83"/>
      <c r="N5" s="83"/>
      <c r="O5" s="83"/>
      <c r="P5" s="83"/>
      <c r="Q5" s="83"/>
      <c r="R5" s="83"/>
      <c r="S5" s="83"/>
      <c r="T5" s="83"/>
      <c r="U5" s="83"/>
      <c r="V5" s="83"/>
      <c r="W5" s="83"/>
      <c r="X5" s="83"/>
      <c r="Y5" s="83"/>
      <c r="Z5" s="83"/>
    </row>
    <row r="6" ht="12.75" customHeight="1">
      <c r="A6" s="29" t="s">
        <v>29</v>
      </c>
      <c r="B6" s="29">
        <v>4.6</v>
      </c>
      <c r="C6" s="29">
        <v>0.93</v>
      </c>
      <c r="D6" s="29">
        <v>94.0</v>
      </c>
      <c r="E6" s="29">
        <v>3.24</v>
      </c>
      <c r="F6" s="29">
        <v>27.0</v>
      </c>
      <c r="G6" s="29">
        <v>96.0</v>
      </c>
      <c r="H6" s="29">
        <v>13.0</v>
      </c>
      <c r="I6" s="29">
        <v>141.0</v>
      </c>
      <c r="J6" s="29">
        <v>6.2</v>
      </c>
      <c r="K6" s="29">
        <v>57.0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118</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46</v>
      </c>
      <c r="C9" s="37">
        <f t="shared" si="1"/>
        <v>82.212</v>
      </c>
      <c r="D9" s="38">
        <f t="shared" si="1"/>
        <v>5.217</v>
      </c>
      <c r="E9" s="37">
        <f>LN(E6*E8)</f>
        <v>-1.127011763</v>
      </c>
      <c r="F9" s="36">
        <f t="shared" ref="F9:K9" si="2">F6</f>
        <v>27</v>
      </c>
      <c r="G9" s="36">
        <f t="shared" si="2"/>
        <v>96</v>
      </c>
      <c r="H9" s="36">
        <f t="shared" si="2"/>
        <v>13</v>
      </c>
      <c r="I9" s="36">
        <f t="shared" si="2"/>
        <v>141</v>
      </c>
      <c r="J9" s="36">
        <f t="shared" si="2"/>
        <v>6.2</v>
      </c>
      <c r="K9" s="36">
        <f t="shared" si="2"/>
        <v>57</v>
      </c>
      <c r="L9" s="88"/>
      <c r="M9" s="88"/>
      <c r="N9" s="88"/>
      <c r="O9" s="88"/>
      <c r="P9" s="88"/>
      <c r="Q9" s="88"/>
      <c r="R9" s="88"/>
      <c r="S9" s="88"/>
      <c r="T9" s="88"/>
      <c r="U9" s="88"/>
      <c r="V9" s="88"/>
      <c r="W9" s="88"/>
      <c r="X9" s="88"/>
      <c r="Y9" s="88"/>
      <c r="Z9" s="88"/>
    </row>
    <row r="10" ht="12.75" customHeight="1">
      <c r="A10" s="31" t="s">
        <v>41</v>
      </c>
      <c r="B10" s="32" t="s">
        <v>42</v>
      </c>
      <c r="C10" s="39" t="s">
        <v>119</v>
      </c>
      <c r="D10" s="32" t="s">
        <v>44</v>
      </c>
      <c r="E10" s="32" t="s">
        <v>45</v>
      </c>
      <c r="F10" s="32" t="s">
        <v>34</v>
      </c>
      <c r="G10" s="32" t="s">
        <v>35</v>
      </c>
      <c r="H10" s="32" t="s">
        <v>34</v>
      </c>
      <c r="I10" s="32" t="s">
        <v>36</v>
      </c>
      <c r="J10" s="32" t="s">
        <v>120</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-1.5456</v>
      </c>
      <c r="C12" s="41">
        <f t="shared" si="3"/>
        <v>0.781014</v>
      </c>
      <c r="D12" s="41">
        <f t="shared" si="3"/>
        <v>1.0188801</v>
      </c>
      <c r="E12" s="41">
        <f t="shared" si="3"/>
        <v>-0.1075169222</v>
      </c>
      <c r="F12" s="41">
        <f t="shared" si="3"/>
        <v>-0.324</v>
      </c>
      <c r="G12" s="41">
        <f t="shared" si="3"/>
        <v>2.5728</v>
      </c>
      <c r="H12" s="41">
        <f t="shared" si="3"/>
        <v>4.2978</v>
      </c>
      <c r="I12" s="41">
        <f t="shared" si="3"/>
        <v>0.2679</v>
      </c>
      <c r="J12" s="41">
        <f t="shared" si="3"/>
        <v>0.34348</v>
      </c>
      <c r="K12" s="41">
        <f t="shared" si="3"/>
        <v>4.5828</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-8.019142822</v>
      </c>
      <c r="C18" s="92">
        <f>1-EXP(-EXP(B18)*(EXP(B15*D14)-1)/B15)</f>
        <v>0.06284347028</v>
      </c>
      <c r="D18" s="90">
        <f>141.50225 + LN(-0.00553*LN(1 -C18))/0.09165</f>
        <v>54.95125437</v>
      </c>
      <c r="E18" s="90">
        <f>D18/(1+1.28047*EXP(0.0344329*(-182.344+D18)))</f>
        <v>54.08937224</v>
      </c>
      <c r="F18" s="92">
        <f>1 - EXP(-0.000520363523*EXP(0.090165*E18))</f>
        <v>0.0660089733</v>
      </c>
      <c r="G18" s="61"/>
      <c r="H18" s="61"/>
      <c r="I18" s="61"/>
      <c r="J18" s="61"/>
      <c r="K18" s="62"/>
      <c r="L18" s="54"/>
      <c r="M18" s="54"/>
      <c r="N18" s="54"/>
      <c r="O18" s="54"/>
      <c r="P18" s="54"/>
      <c r="Q18" s="54"/>
      <c r="R18" s="54"/>
      <c r="S18" s="54"/>
      <c r="T18" s="54"/>
      <c r="U18" s="54"/>
      <c r="V18" s="54"/>
      <c r="W18" s="54"/>
      <c r="X18" s="54"/>
      <c r="Y18" s="54"/>
      <c r="Z18" s="54"/>
    </row>
    <row r="19" ht="12.75" customHeight="1">
      <c r="A19" s="84"/>
      <c r="L19" s="67"/>
    </row>
    <row r="20" ht="12.75" customHeight="1">
      <c r="A20" s="84"/>
      <c r="B20" s="69" t="s">
        <v>93</v>
      </c>
      <c r="C20" s="69">
        <v>1492.0</v>
      </c>
      <c r="L20" s="67"/>
    </row>
    <row r="21" ht="12.75" customHeight="1">
      <c r="A21" s="84"/>
      <c r="B21" s="69" t="s">
        <v>107</v>
      </c>
      <c r="C21" s="69" t="s">
        <v>108</v>
      </c>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121</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3"/>
      <c r="B5" s="95" t="s">
        <v>101</v>
      </c>
      <c r="C5" s="96" t="s">
        <v>102</v>
      </c>
      <c r="D5" s="95" t="s">
        <v>101</v>
      </c>
      <c r="E5" s="95" t="s">
        <v>101</v>
      </c>
      <c r="F5" s="97" t="s">
        <v>103</v>
      </c>
      <c r="G5" s="96" t="s">
        <v>102</v>
      </c>
      <c r="H5" s="97" t="s">
        <v>103</v>
      </c>
      <c r="I5" s="95" t="s">
        <v>101</v>
      </c>
      <c r="J5" s="96" t="s">
        <v>102</v>
      </c>
      <c r="K5" s="81">
        <v>56.0</v>
      </c>
      <c r="L5" s="82"/>
      <c r="M5" s="83"/>
      <c r="N5" s="83"/>
      <c r="O5" s="83"/>
      <c r="P5" s="83"/>
      <c r="Q5" s="83"/>
      <c r="R5" s="83"/>
      <c r="S5" s="83"/>
      <c r="T5" s="83"/>
      <c r="U5" s="83"/>
      <c r="V5" s="83"/>
      <c r="W5" s="83"/>
      <c r="X5" s="83"/>
      <c r="Y5" s="83"/>
      <c r="Z5" s="83"/>
    </row>
    <row r="6" ht="12.75" customHeight="1">
      <c r="A6" s="29" t="s">
        <v>29</v>
      </c>
      <c r="B6" s="29">
        <v>4.4</v>
      </c>
      <c r="C6" s="29">
        <v>0.87</v>
      </c>
      <c r="D6" s="29">
        <v>105.0</v>
      </c>
      <c r="E6" s="29">
        <v>2.36</v>
      </c>
      <c r="F6" s="29">
        <v>27.0</v>
      </c>
      <c r="G6" s="29">
        <v>97.0</v>
      </c>
      <c r="H6" s="29">
        <v>13.7</v>
      </c>
      <c r="I6" s="29">
        <v>136.0</v>
      </c>
      <c r="J6" s="29">
        <v>6.0</v>
      </c>
      <c r="K6" s="29">
        <v>56.0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122</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44</v>
      </c>
      <c r="C9" s="37">
        <f t="shared" si="1"/>
        <v>76.908</v>
      </c>
      <c r="D9" s="38">
        <f t="shared" si="1"/>
        <v>5.8275</v>
      </c>
      <c r="E9" s="37">
        <f>LN(E6*E8)</f>
        <v>-1.443923474</v>
      </c>
      <c r="F9" s="36">
        <f t="shared" ref="F9:K9" si="2">F6</f>
        <v>27</v>
      </c>
      <c r="G9" s="36">
        <f t="shared" si="2"/>
        <v>97</v>
      </c>
      <c r="H9" s="36">
        <f t="shared" si="2"/>
        <v>13.7</v>
      </c>
      <c r="I9" s="36">
        <f t="shared" si="2"/>
        <v>136</v>
      </c>
      <c r="J9" s="36">
        <f t="shared" si="2"/>
        <v>6</v>
      </c>
      <c r="K9" s="36">
        <f t="shared" si="2"/>
        <v>56</v>
      </c>
      <c r="L9" s="88"/>
      <c r="M9" s="88"/>
      <c r="N9" s="88"/>
      <c r="O9" s="88"/>
      <c r="P9" s="88"/>
      <c r="Q9" s="88"/>
      <c r="R9" s="88"/>
      <c r="S9" s="88"/>
      <c r="T9" s="88"/>
      <c r="U9" s="88"/>
      <c r="V9" s="88"/>
      <c r="W9" s="88"/>
      <c r="X9" s="88"/>
      <c r="Y9" s="88"/>
      <c r="Z9" s="88"/>
    </row>
    <row r="10" ht="12.75" customHeight="1">
      <c r="A10" s="31" t="s">
        <v>41</v>
      </c>
      <c r="B10" s="32" t="s">
        <v>42</v>
      </c>
      <c r="C10" s="39" t="s">
        <v>123</v>
      </c>
      <c r="D10" s="32" t="s">
        <v>44</v>
      </c>
      <c r="E10" s="32" t="s">
        <v>45</v>
      </c>
      <c r="F10" s="32" t="s">
        <v>34</v>
      </c>
      <c r="G10" s="32" t="s">
        <v>35</v>
      </c>
      <c r="H10" s="32" t="s">
        <v>34</v>
      </c>
      <c r="I10" s="32" t="s">
        <v>36</v>
      </c>
      <c r="J10" s="32" t="s">
        <v>124</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-1.4784</v>
      </c>
      <c r="C12" s="41">
        <f t="shared" si="3"/>
        <v>0.730626</v>
      </c>
      <c r="D12" s="41">
        <f t="shared" si="3"/>
        <v>1.13811075</v>
      </c>
      <c r="E12" s="41">
        <f t="shared" si="3"/>
        <v>-0.1377502994</v>
      </c>
      <c r="F12" s="41">
        <f t="shared" si="3"/>
        <v>-0.324</v>
      </c>
      <c r="G12" s="41">
        <f t="shared" si="3"/>
        <v>2.5996</v>
      </c>
      <c r="H12" s="41">
        <f t="shared" si="3"/>
        <v>4.52922</v>
      </c>
      <c r="I12" s="41">
        <f t="shared" si="3"/>
        <v>0.2584</v>
      </c>
      <c r="J12" s="41">
        <f t="shared" si="3"/>
        <v>0.3324</v>
      </c>
      <c r="K12" s="41">
        <f t="shared" si="3"/>
        <v>4.5024</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-7.756093549</v>
      </c>
      <c r="C18" s="92">
        <f>1-EXP(-EXP(B18)*(EXP(B15*D14)-1)/B15)</f>
        <v>0.08096793118</v>
      </c>
      <c r="D18" s="90">
        <f>141.50225 + LN(-0.00553*LN(1 -C18))/0.09165</f>
        <v>57.82140465</v>
      </c>
      <c r="E18" s="90">
        <f>D18/(1+1.28047*EXP(0.0344329*(-182.344+D18)))</f>
        <v>56.82192906</v>
      </c>
      <c r="F18" s="92">
        <f>1 - EXP(-0.000520363523*EXP(0.090165*E18))</f>
        <v>0.08365958078</v>
      </c>
      <c r="G18" s="61"/>
      <c r="H18" s="61"/>
      <c r="I18" s="61"/>
      <c r="J18" s="61"/>
      <c r="K18" s="62"/>
      <c r="L18" s="54"/>
      <c r="M18" s="54"/>
      <c r="N18" s="54"/>
      <c r="O18" s="54"/>
      <c r="P18" s="54"/>
      <c r="Q18" s="54"/>
      <c r="R18" s="54"/>
      <c r="S18" s="54"/>
      <c r="T18" s="54"/>
      <c r="U18" s="54"/>
      <c r="V18" s="54"/>
      <c r="W18" s="54"/>
      <c r="X18" s="54"/>
      <c r="Y18" s="54"/>
      <c r="Z18" s="54"/>
    </row>
    <row r="19" ht="12.75" customHeight="1">
      <c r="A19" s="84"/>
      <c r="L19" s="67"/>
    </row>
    <row r="20" ht="12.75" customHeight="1">
      <c r="A20" s="84"/>
      <c r="B20" s="69" t="s">
        <v>93</v>
      </c>
      <c r="C20" s="69">
        <v>1500.0</v>
      </c>
      <c r="L20" s="67"/>
    </row>
    <row r="21" ht="12.75" customHeight="1">
      <c r="A21" s="84"/>
      <c r="B21" s="69" t="s">
        <v>107</v>
      </c>
      <c r="C21" s="69">
        <v>13.0</v>
      </c>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14.88"/>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125</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3"/>
      <c r="B5" s="95" t="s">
        <v>101</v>
      </c>
      <c r="C5" s="96" t="s">
        <v>102</v>
      </c>
      <c r="D5" s="95" t="s">
        <v>101</v>
      </c>
      <c r="E5" s="95" t="s">
        <v>101</v>
      </c>
      <c r="F5" s="97" t="s">
        <v>103</v>
      </c>
      <c r="G5" s="96" t="s">
        <v>102</v>
      </c>
      <c r="H5" s="97" t="s">
        <v>103</v>
      </c>
      <c r="I5" s="95" t="s">
        <v>101</v>
      </c>
      <c r="J5" s="96" t="s">
        <v>102</v>
      </c>
      <c r="K5" s="81">
        <v>56.0</v>
      </c>
      <c r="L5" s="82"/>
      <c r="M5" s="83"/>
      <c r="N5" s="83"/>
      <c r="O5" s="83"/>
      <c r="P5" s="83"/>
      <c r="Q5" s="83"/>
      <c r="R5" s="83"/>
      <c r="S5" s="83"/>
      <c r="T5" s="83"/>
      <c r="U5" s="83"/>
      <c r="V5" s="83"/>
      <c r="W5" s="83"/>
      <c r="X5" s="83"/>
      <c r="Y5" s="83"/>
      <c r="Z5" s="83"/>
    </row>
    <row r="6" ht="12.75" customHeight="1">
      <c r="A6" s="29" t="s">
        <v>29</v>
      </c>
      <c r="B6" s="29">
        <v>4.4</v>
      </c>
      <c r="C6" s="29">
        <v>0.99</v>
      </c>
      <c r="D6" s="29">
        <v>97.0</v>
      </c>
      <c r="E6" s="29">
        <v>2.46</v>
      </c>
      <c r="F6" s="29">
        <v>29.0</v>
      </c>
      <c r="G6" s="29">
        <v>96.0</v>
      </c>
      <c r="H6" s="29">
        <v>13.1</v>
      </c>
      <c r="I6" s="29">
        <v>138.0</v>
      </c>
      <c r="J6" s="29">
        <v>5.5</v>
      </c>
      <c r="K6" s="29">
        <v>56.0</v>
      </c>
      <c r="L6" s="86"/>
      <c r="M6" s="87"/>
      <c r="N6" s="87"/>
      <c r="O6" s="87"/>
      <c r="P6" s="87"/>
      <c r="Q6" s="87"/>
      <c r="R6" s="87"/>
      <c r="S6" s="87"/>
      <c r="T6" s="87"/>
      <c r="U6" s="87"/>
      <c r="V6" s="87"/>
      <c r="W6" s="87"/>
      <c r="X6" s="87"/>
      <c r="Y6" s="87"/>
      <c r="Z6" s="87"/>
    </row>
    <row r="7" ht="12.75" customHeight="1">
      <c r="A7" s="31" t="s">
        <v>30</v>
      </c>
      <c r="B7" s="32" t="s">
        <v>32</v>
      </c>
      <c r="C7" s="32" t="s">
        <v>32</v>
      </c>
      <c r="D7" s="32" t="s">
        <v>32</v>
      </c>
      <c r="E7" s="32" t="s">
        <v>33</v>
      </c>
      <c r="F7" s="32" t="s">
        <v>34</v>
      </c>
      <c r="G7" s="32" t="s">
        <v>35</v>
      </c>
      <c r="H7" s="32" t="s">
        <v>34</v>
      </c>
      <c r="I7" s="32" t="s">
        <v>36</v>
      </c>
      <c r="J7" s="32" t="s">
        <v>126</v>
      </c>
      <c r="K7" s="32" t="s">
        <v>38</v>
      </c>
      <c r="L7" s="88"/>
      <c r="M7" s="88"/>
      <c r="N7" s="88"/>
      <c r="O7" s="88"/>
      <c r="P7" s="88"/>
      <c r="Q7" s="88"/>
      <c r="R7" s="88"/>
      <c r="S7" s="88"/>
      <c r="T7" s="88"/>
      <c r="U7" s="88"/>
      <c r="V7" s="88"/>
      <c r="W7" s="88"/>
      <c r="X7" s="88"/>
      <c r="Y7" s="88"/>
      <c r="Z7" s="88"/>
    </row>
    <row r="8" ht="12.75" customHeight="1">
      <c r="A8" s="33" t="s">
        <v>39</v>
      </c>
      <c r="B8" s="34">
        <v>10.0</v>
      </c>
      <c r="C8" s="34">
        <v>88.4</v>
      </c>
      <c r="D8" s="34">
        <v>0.0555</v>
      </c>
      <c r="E8" s="34">
        <v>0.1</v>
      </c>
      <c r="F8" s="34"/>
      <c r="G8" s="34"/>
      <c r="H8" s="34"/>
      <c r="I8" s="34"/>
      <c r="J8" s="34"/>
      <c r="K8" s="34"/>
      <c r="L8" s="67"/>
    </row>
    <row r="9" ht="12.75" customHeight="1">
      <c r="A9" s="35" t="s">
        <v>40</v>
      </c>
      <c r="B9" s="36">
        <f t="shared" ref="B9:D9" si="1">B6*B8</f>
        <v>44</v>
      </c>
      <c r="C9" s="37">
        <f t="shared" si="1"/>
        <v>87.516</v>
      </c>
      <c r="D9" s="38">
        <f t="shared" si="1"/>
        <v>5.3835</v>
      </c>
      <c r="E9" s="37">
        <f>LN(E6*E8)</f>
        <v>-1.402423743</v>
      </c>
      <c r="F9" s="36">
        <f t="shared" ref="F9:K9" si="2">F6</f>
        <v>29</v>
      </c>
      <c r="G9" s="36">
        <f t="shared" si="2"/>
        <v>96</v>
      </c>
      <c r="H9" s="36">
        <f t="shared" si="2"/>
        <v>13.1</v>
      </c>
      <c r="I9" s="36">
        <f t="shared" si="2"/>
        <v>138</v>
      </c>
      <c r="J9" s="36">
        <f t="shared" si="2"/>
        <v>5.5</v>
      </c>
      <c r="K9" s="36">
        <f t="shared" si="2"/>
        <v>56</v>
      </c>
      <c r="L9" s="88"/>
      <c r="M9" s="88"/>
      <c r="N9" s="88"/>
      <c r="O9" s="88"/>
      <c r="P9" s="88"/>
      <c r="Q9" s="88"/>
      <c r="R9" s="88"/>
      <c r="S9" s="88"/>
      <c r="T9" s="88"/>
      <c r="U9" s="88"/>
      <c r="V9" s="88"/>
      <c r="W9" s="88"/>
      <c r="X9" s="88"/>
      <c r="Y9" s="88"/>
      <c r="Z9" s="88"/>
    </row>
    <row r="10" ht="12.75" customHeight="1">
      <c r="A10" s="31" t="s">
        <v>41</v>
      </c>
      <c r="B10" s="32" t="s">
        <v>42</v>
      </c>
      <c r="C10" s="39" t="s">
        <v>127</v>
      </c>
      <c r="D10" s="32" t="s">
        <v>44</v>
      </c>
      <c r="E10" s="32" t="s">
        <v>45</v>
      </c>
      <c r="F10" s="32" t="s">
        <v>34</v>
      </c>
      <c r="G10" s="32" t="s">
        <v>35</v>
      </c>
      <c r="H10" s="32" t="s">
        <v>34</v>
      </c>
      <c r="I10" s="32" t="s">
        <v>36</v>
      </c>
      <c r="J10" s="32" t="s">
        <v>128</v>
      </c>
      <c r="K10" s="32" t="s">
        <v>38</v>
      </c>
      <c r="L10" s="88"/>
      <c r="M10" s="88"/>
      <c r="N10" s="88"/>
      <c r="O10" s="88"/>
      <c r="P10" s="88"/>
      <c r="Q10" s="88"/>
      <c r="R10" s="88"/>
      <c r="S10" s="88"/>
      <c r="T10" s="88"/>
      <c r="U10" s="88"/>
      <c r="V10" s="88"/>
      <c r="W10" s="88"/>
      <c r="X10" s="88"/>
      <c r="Y10" s="88"/>
      <c r="Z10" s="88"/>
    </row>
    <row r="11" ht="12.75" customHeight="1">
      <c r="A11" s="33" t="s">
        <v>47</v>
      </c>
      <c r="B11" s="34">
        <v>-0.0336</v>
      </c>
      <c r="C11" s="34">
        <v>0.0095</v>
      </c>
      <c r="D11" s="34">
        <v>0.1953</v>
      </c>
      <c r="E11" s="34">
        <v>0.0954</v>
      </c>
      <c r="F11" s="34">
        <v>-0.012</v>
      </c>
      <c r="G11" s="34">
        <v>0.0268</v>
      </c>
      <c r="H11" s="34">
        <v>0.3306</v>
      </c>
      <c r="I11" s="34">
        <v>0.0019</v>
      </c>
      <c r="J11" s="34">
        <v>0.0554</v>
      </c>
      <c r="K11" s="34">
        <v>0.0804</v>
      </c>
      <c r="L11" s="67"/>
    </row>
    <row r="12" ht="12.75" customHeight="1">
      <c r="A12" s="40" t="s">
        <v>48</v>
      </c>
      <c r="B12" s="41">
        <f t="shared" ref="B12:K12" si="3">B9*B11</f>
        <v>-1.4784</v>
      </c>
      <c r="C12" s="41">
        <f t="shared" si="3"/>
        <v>0.831402</v>
      </c>
      <c r="D12" s="41">
        <f t="shared" si="3"/>
        <v>1.05139755</v>
      </c>
      <c r="E12" s="41">
        <f t="shared" si="3"/>
        <v>-0.1337912251</v>
      </c>
      <c r="F12" s="41">
        <f t="shared" si="3"/>
        <v>-0.348</v>
      </c>
      <c r="G12" s="41">
        <f t="shared" si="3"/>
        <v>2.5728</v>
      </c>
      <c r="H12" s="41">
        <f t="shared" si="3"/>
        <v>4.33086</v>
      </c>
      <c r="I12" s="41">
        <f t="shared" si="3"/>
        <v>0.2622</v>
      </c>
      <c r="J12" s="41">
        <f t="shared" si="3"/>
        <v>0.3047</v>
      </c>
      <c r="K12" s="41">
        <f t="shared" si="3"/>
        <v>4.5024</v>
      </c>
      <c r="L12" s="89"/>
      <c r="M12" s="89"/>
      <c r="N12" s="89"/>
      <c r="O12" s="89"/>
      <c r="P12" s="89"/>
      <c r="Q12" s="89"/>
      <c r="R12" s="89"/>
      <c r="S12" s="89"/>
      <c r="T12" s="89"/>
      <c r="U12" s="89"/>
      <c r="V12" s="89"/>
      <c r="W12" s="89"/>
      <c r="X12" s="89"/>
      <c r="Y12" s="89"/>
      <c r="Z12" s="89"/>
    </row>
    <row r="13" ht="12.75" customHeight="1">
      <c r="A13" s="42" t="s">
        <v>49</v>
      </c>
      <c r="K13" s="43"/>
      <c r="L13" s="67"/>
    </row>
    <row r="14" ht="12.75" customHeight="1">
      <c r="A14" s="44" t="s">
        <v>50</v>
      </c>
      <c r="B14" s="45">
        <v>10.0</v>
      </c>
      <c r="C14" s="45" t="s">
        <v>51</v>
      </c>
      <c r="D14" s="45">
        <f>B14*12</f>
        <v>120</v>
      </c>
      <c r="E14" s="45" t="s">
        <v>52</v>
      </c>
      <c r="K14" s="43"/>
      <c r="L14" s="67"/>
    </row>
    <row r="15" ht="12.75" customHeight="1">
      <c r="A15" s="46" t="s">
        <v>53</v>
      </c>
      <c r="B15" s="34">
        <v>0.0076927</v>
      </c>
      <c r="C15" s="43"/>
      <c r="K15" s="43"/>
      <c r="L15" s="67"/>
    </row>
    <row r="16" ht="12.75" customHeight="1">
      <c r="A16" s="47" t="s">
        <v>54</v>
      </c>
      <c r="B16" s="48">
        <v>-19.9067</v>
      </c>
      <c r="C16" s="49"/>
      <c r="K16" s="43"/>
      <c r="L16" s="67"/>
    </row>
    <row r="17" ht="12.75" customHeight="1">
      <c r="A17" s="50"/>
      <c r="B17" s="50" t="s">
        <v>55</v>
      </c>
      <c r="C17" s="50" t="s">
        <v>56</v>
      </c>
      <c r="D17" s="50" t="s">
        <v>57</v>
      </c>
      <c r="E17" s="50" t="s">
        <v>58</v>
      </c>
      <c r="F17" s="50" t="s">
        <v>59</v>
      </c>
      <c r="G17" s="54"/>
      <c r="H17" s="54"/>
      <c r="I17" s="54"/>
      <c r="J17" s="54"/>
      <c r="K17" s="55"/>
      <c r="L17" s="54"/>
      <c r="M17" s="54"/>
      <c r="N17" s="54"/>
      <c r="O17" s="54"/>
      <c r="P17" s="54"/>
      <c r="Q17" s="54"/>
      <c r="R17" s="54"/>
      <c r="S17" s="54"/>
      <c r="T17" s="54"/>
      <c r="U17" s="54"/>
      <c r="V17" s="54"/>
      <c r="W17" s="54"/>
      <c r="X17" s="54"/>
      <c r="Y17" s="54"/>
      <c r="Z17" s="54"/>
    </row>
    <row r="18" ht="12.75" customHeight="1">
      <c r="A18" s="90" t="s">
        <v>61</v>
      </c>
      <c r="B18" s="91">
        <f>B12+C12+D12+E12+F12+G12+H12+I12+J12+K12+B16</f>
        <v>-8.011131675</v>
      </c>
      <c r="C18" s="92">
        <f>1-EXP(-EXP(B18)*(EXP(B15*D14)-1)/B15)</f>
        <v>0.06333258655</v>
      </c>
      <c r="D18" s="90">
        <f>141.50225 + LN(-0.00553*LN(1 -C18))/0.09165</f>
        <v>55.0386646</v>
      </c>
      <c r="E18" s="90">
        <f>D18/(1+1.28047*EXP(0.0344329*(-182.344+D18)))</f>
        <v>54.17285029</v>
      </c>
      <c r="F18" s="92">
        <f>1 - EXP(-0.000520363523*EXP(0.090165*E18))</f>
        <v>0.06649072545</v>
      </c>
      <c r="G18" s="61"/>
      <c r="H18" s="61"/>
      <c r="I18" s="61"/>
      <c r="J18" s="61"/>
      <c r="K18" s="62"/>
      <c r="L18" s="54"/>
      <c r="M18" s="54"/>
      <c r="N18" s="54"/>
      <c r="O18" s="54"/>
      <c r="P18" s="54"/>
      <c r="Q18" s="54"/>
      <c r="R18" s="54"/>
      <c r="S18" s="54"/>
      <c r="T18" s="54"/>
      <c r="U18" s="54"/>
      <c r="V18" s="54"/>
      <c r="W18" s="54"/>
      <c r="X18" s="54"/>
      <c r="Y18" s="54"/>
      <c r="Z18" s="54"/>
    </row>
    <row r="19" ht="12.75" customHeight="1">
      <c r="A19" s="84"/>
      <c r="L19" s="67"/>
    </row>
    <row r="20" ht="12.75" customHeight="1">
      <c r="A20" s="84"/>
      <c r="B20" s="69" t="s">
        <v>93</v>
      </c>
      <c r="C20" s="69">
        <v>1500.0</v>
      </c>
      <c r="L20" s="67"/>
    </row>
    <row r="21" ht="12.75" customHeight="1">
      <c r="A21" s="84"/>
      <c r="B21" s="69" t="s">
        <v>107</v>
      </c>
      <c r="C21" s="69">
        <v>13.0</v>
      </c>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8.75"/>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129</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9" t="s">
        <v>29</v>
      </c>
      <c r="B5" s="29">
        <v>4.3</v>
      </c>
      <c r="C5" s="29">
        <v>0.83</v>
      </c>
      <c r="D5" s="29">
        <v>99.0</v>
      </c>
      <c r="E5" s="29">
        <v>0.15</v>
      </c>
      <c r="F5" s="29">
        <v>29.0</v>
      </c>
      <c r="G5" s="29">
        <v>93.0</v>
      </c>
      <c r="H5" s="29">
        <v>13.0</v>
      </c>
      <c r="I5" s="29">
        <v>197.0</v>
      </c>
      <c r="J5" s="29">
        <v>4.8</v>
      </c>
      <c r="K5" s="29">
        <v>56.0</v>
      </c>
      <c r="L5" s="86"/>
      <c r="M5" s="87"/>
      <c r="N5" s="87"/>
      <c r="O5" s="87"/>
      <c r="P5" s="87"/>
      <c r="Q5" s="87"/>
      <c r="R5" s="87"/>
      <c r="S5" s="87"/>
      <c r="T5" s="87"/>
      <c r="U5" s="87"/>
      <c r="V5" s="87"/>
      <c r="W5" s="87"/>
      <c r="X5" s="87"/>
      <c r="Y5" s="87"/>
      <c r="Z5" s="87"/>
    </row>
    <row r="6" ht="12.75" customHeight="1">
      <c r="A6" s="31" t="s">
        <v>30</v>
      </c>
      <c r="B6" s="32" t="s">
        <v>32</v>
      </c>
      <c r="C6" s="32" t="s">
        <v>32</v>
      </c>
      <c r="D6" s="32" t="s">
        <v>32</v>
      </c>
      <c r="E6" s="32" t="s">
        <v>33</v>
      </c>
      <c r="F6" s="32" t="s">
        <v>34</v>
      </c>
      <c r="G6" s="32" t="s">
        <v>35</v>
      </c>
      <c r="H6" s="32" t="s">
        <v>34</v>
      </c>
      <c r="I6" s="32" t="s">
        <v>36</v>
      </c>
      <c r="J6" s="32" t="s">
        <v>130</v>
      </c>
      <c r="K6" s="32" t="s">
        <v>38</v>
      </c>
      <c r="L6" s="88"/>
      <c r="M6" s="88"/>
      <c r="N6" s="88"/>
      <c r="O6" s="88"/>
      <c r="P6" s="88"/>
      <c r="Q6" s="88"/>
      <c r="R6" s="88"/>
      <c r="S6" s="88"/>
      <c r="T6" s="88"/>
      <c r="U6" s="88"/>
      <c r="V6" s="88"/>
      <c r="W6" s="88"/>
      <c r="X6" s="88"/>
      <c r="Y6" s="88"/>
      <c r="Z6" s="88"/>
    </row>
    <row r="7" ht="12.75" customHeight="1">
      <c r="A7" s="33" t="s">
        <v>39</v>
      </c>
      <c r="B7" s="34">
        <v>10.0</v>
      </c>
      <c r="C7" s="34">
        <v>88.4</v>
      </c>
      <c r="D7" s="34">
        <v>0.0555</v>
      </c>
      <c r="E7" s="34">
        <v>0.1</v>
      </c>
      <c r="F7" s="34"/>
      <c r="G7" s="34"/>
      <c r="H7" s="34"/>
      <c r="I7" s="34"/>
      <c r="J7" s="34"/>
      <c r="K7" s="34"/>
      <c r="L7" s="67"/>
    </row>
    <row r="8" ht="12.75" customHeight="1">
      <c r="A8" s="35" t="s">
        <v>40</v>
      </c>
      <c r="B8" s="36">
        <f t="shared" ref="B8:D8" si="1">B5*B7</f>
        <v>43</v>
      </c>
      <c r="C8" s="37">
        <f t="shared" si="1"/>
        <v>73.372</v>
      </c>
      <c r="D8" s="38">
        <f t="shared" si="1"/>
        <v>5.4945</v>
      </c>
      <c r="E8" s="37">
        <f>LN(E5*E7)</f>
        <v>-4.199705078</v>
      </c>
      <c r="F8" s="36">
        <f t="shared" ref="F8:K8" si="2">F5</f>
        <v>29</v>
      </c>
      <c r="G8" s="36">
        <f t="shared" si="2"/>
        <v>93</v>
      </c>
      <c r="H8" s="36">
        <f t="shared" si="2"/>
        <v>13</v>
      </c>
      <c r="I8" s="36">
        <f t="shared" si="2"/>
        <v>197</v>
      </c>
      <c r="J8" s="36">
        <f t="shared" si="2"/>
        <v>4.8</v>
      </c>
      <c r="K8" s="36">
        <f t="shared" si="2"/>
        <v>56</v>
      </c>
      <c r="L8" s="88"/>
      <c r="M8" s="88"/>
      <c r="N8" s="88"/>
      <c r="O8" s="88"/>
      <c r="P8" s="88"/>
      <c r="Q8" s="88"/>
      <c r="R8" s="88"/>
      <c r="S8" s="88"/>
      <c r="T8" s="88"/>
      <c r="U8" s="88"/>
      <c r="V8" s="88"/>
      <c r="W8" s="88"/>
      <c r="X8" s="88"/>
      <c r="Y8" s="88"/>
      <c r="Z8" s="88"/>
    </row>
    <row r="9" ht="12.75" customHeight="1">
      <c r="A9" s="31" t="s">
        <v>41</v>
      </c>
      <c r="B9" s="32" t="s">
        <v>42</v>
      </c>
      <c r="C9" s="39" t="s">
        <v>131</v>
      </c>
      <c r="D9" s="32" t="s">
        <v>44</v>
      </c>
      <c r="E9" s="32" t="s">
        <v>45</v>
      </c>
      <c r="F9" s="32" t="s">
        <v>34</v>
      </c>
      <c r="G9" s="32" t="s">
        <v>35</v>
      </c>
      <c r="H9" s="32" t="s">
        <v>34</v>
      </c>
      <c r="I9" s="32" t="s">
        <v>36</v>
      </c>
      <c r="J9" s="32" t="s">
        <v>132</v>
      </c>
      <c r="K9" s="32" t="s">
        <v>38</v>
      </c>
      <c r="L9" s="88"/>
      <c r="M9" s="88"/>
      <c r="N9" s="88"/>
      <c r="O9" s="88"/>
      <c r="P9" s="88"/>
      <c r="Q9" s="88"/>
      <c r="R9" s="88"/>
      <c r="S9" s="88"/>
      <c r="T9" s="88"/>
      <c r="U9" s="88"/>
      <c r="V9" s="88"/>
      <c r="W9" s="88"/>
      <c r="X9" s="88"/>
      <c r="Y9" s="88"/>
      <c r="Z9" s="88"/>
    </row>
    <row r="10" ht="12.75" customHeight="1">
      <c r="A10" s="33" t="s">
        <v>47</v>
      </c>
      <c r="B10" s="34">
        <v>-0.0336</v>
      </c>
      <c r="C10" s="34">
        <v>0.0095</v>
      </c>
      <c r="D10" s="34">
        <v>0.1953</v>
      </c>
      <c r="E10" s="34">
        <v>0.0954</v>
      </c>
      <c r="F10" s="34">
        <v>-0.012</v>
      </c>
      <c r="G10" s="34">
        <v>0.0268</v>
      </c>
      <c r="H10" s="34">
        <v>0.3306</v>
      </c>
      <c r="I10" s="34">
        <v>0.0019</v>
      </c>
      <c r="J10" s="34">
        <v>0.0554</v>
      </c>
      <c r="K10" s="34">
        <v>0.0804</v>
      </c>
      <c r="L10" s="67"/>
    </row>
    <row r="11" ht="12.75" customHeight="1">
      <c r="A11" s="40" t="s">
        <v>48</v>
      </c>
      <c r="B11" s="41">
        <f t="shared" ref="B11:K11" si="3">B8*B10</f>
        <v>-1.4448</v>
      </c>
      <c r="C11" s="41">
        <f t="shared" si="3"/>
        <v>0.697034</v>
      </c>
      <c r="D11" s="41">
        <f t="shared" si="3"/>
        <v>1.07307585</v>
      </c>
      <c r="E11" s="41">
        <f t="shared" si="3"/>
        <v>-0.4006518644</v>
      </c>
      <c r="F11" s="41">
        <f t="shared" si="3"/>
        <v>-0.348</v>
      </c>
      <c r="G11" s="41">
        <f t="shared" si="3"/>
        <v>2.4924</v>
      </c>
      <c r="H11" s="41">
        <f t="shared" si="3"/>
        <v>4.2978</v>
      </c>
      <c r="I11" s="41">
        <f t="shared" si="3"/>
        <v>0.3743</v>
      </c>
      <c r="J11" s="41">
        <f t="shared" si="3"/>
        <v>0.26592</v>
      </c>
      <c r="K11" s="41">
        <f t="shared" si="3"/>
        <v>4.5024</v>
      </c>
      <c r="L11" s="89"/>
      <c r="M11" s="89"/>
      <c r="N11" s="89"/>
      <c r="O11" s="89"/>
      <c r="P11" s="89"/>
      <c r="Q11" s="89"/>
      <c r="R11" s="89"/>
      <c r="S11" s="89"/>
      <c r="T11" s="89"/>
      <c r="U11" s="89"/>
      <c r="V11" s="89"/>
      <c r="W11" s="89"/>
      <c r="X11" s="89"/>
      <c r="Y11" s="89"/>
      <c r="Z11" s="89"/>
    </row>
    <row r="12" ht="12.75" customHeight="1">
      <c r="A12" s="42" t="s">
        <v>49</v>
      </c>
      <c r="K12" s="43"/>
      <c r="L12" s="67"/>
    </row>
    <row r="13" ht="12.75" customHeight="1">
      <c r="A13" s="44" t="s">
        <v>50</v>
      </c>
      <c r="B13" s="45">
        <v>10.0</v>
      </c>
      <c r="C13" s="45" t="s">
        <v>51</v>
      </c>
      <c r="D13" s="45">
        <f>B13*12</f>
        <v>120</v>
      </c>
      <c r="E13" s="45" t="s">
        <v>52</v>
      </c>
      <c r="K13" s="43"/>
      <c r="L13" s="67"/>
    </row>
    <row r="14" ht="12.75" customHeight="1">
      <c r="A14" s="46" t="s">
        <v>53</v>
      </c>
      <c r="B14" s="34">
        <v>0.0076927</v>
      </c>
      <c r="C14" s="43"/>
      <c r="K14" s="43"/>
      <c r="L14" s="67"/>
    </row>
    <row r="15" ht="12.75" customHeight="1">
      <c r="A15" s="47" t="s">
        <v>54</v>
      </c>
      <c r="B15" s="48">
        <v>-19.9067</v>
      </c>
      <c r="C15" s="49"/>
      <c r="K15" s="43"/>
      <c r="L15" s="67"/>
    </row>
    <row r="16" ht="12.75" customHeight="1">
      <c r="A16" s="50"/>
      <c r="B16" s="50" t="s">
        <v>55</v>
      </c>
      <c r="C16" s="50" t="s">
        <v>56</v>
      </c>
      <c r="D16" s="50" t="s">
        <v>57</v>
      </c>
      <c r="E16" s="50" t="s">
        <v>58</v>
      </c>
      <c r="F16" s="50" t="s">
        <v>59</v>
      </c>
      <c r="G16" s="54"/>
      <c r="H16" s="54"/>
      <c r="I16" s="54"/>
      <c r="J16" s="54"/>
      <c r="K16" s="55"/>
      <c r="L16" s="54"/>
      <c r="M16" s="54"/>
      <c r="N16" s="54"/>
      <c r="O16" s="54"/>
      <c r="P16" s="54"/>
      <c r="Q16" s="54"/>
      <c r="R16" s="54"/>
      <c r="S16" s="54"/>
      <c r="T16" s="54"/>
      <c r="U16" s="54"/>
      <c r="V16" s="54"/>
      <c r="W16" s="54"/>
      <c r="X16" s="54"/>
      <c r="Y16" s="54"/>
      <c r="Z16" s="54"/>
    </row>
    <row r="17" ht="12.75" customHeight="1">
      <c r="A17" s="90" t="s">
        <v>61</v>
      </c>
      <c r="B17" s="91">
        <f>B11+C11+D11+E11+F11+G11+H11+I11+J11+K11+B15</f>
        <v>-8.397222014</v>
      </c>
      <c r="C17" s="92">
        <f>1-EXP(-EXP(B17)*(EXP(B14*D13)-1)/B14)</f>
        <v>0.04349698114</v>
      </c>
      <c r="D17" s="90">
        <f>141.50225 + LN(-0.00553*LN(1 -C17))/0.09165</f>
        <v>50.82600405</v>
      </c>
      <c r="E17" s="90">
        <f>D17/(1+1.28047*EXP(0.0344329*(-182.344+D17)))</f>
        <v>50.13294524</v>
      </c>
      <c r="F17" s="92">
        <f>1 - EXP(-0.000520363523*EXP(0.090165*E17))</f>
        <v>0.04667482611</v>
      </c>
      <c r="G17" s="61"/>
      <c r="H17" s="61"/>
      <c r="I17" s="61"/>
      <c r="J17" s="61"/>
      <c r="K17" s="62"/>
      <c r="L17" s="54"/>
      <c r="M17" s="54"/>
      <c r="N17" s="54"/>
      <c r="O17" s="54"/>
      <c r="P17" s="54"/>
      <c r="Q17" s="54"/>
      <c r="R17" s="54"/>
      <c r="S17" s="54"/>
      <c r="T17" s="54"/>
      <c r="U17" s="54"/>
      <c r="V17" s="54"/>
      <c r="W17" s="54"/>
      <c r="X17" s="54"/>
      <c r="Y17" s="54"/>
      <c r="Z17" s="54"/>
    </row>
    <row r="18" ht="12.75" customHeight="1">
      <c r="A18" s="84"/>
      <c r="L18" s="67"/>
    </row>
    <row r="19" ht="12.75" customHeight="1">
      <c r="A19" s="84"/>
      <c r="B19" s="69" t="s">
        <v>93</v>
      </c>
      <c r="C19" s="69">
        <v>1495.0</v>
      </c>
      <c r="L19" s="67"/>
    </row>
    <row r="20" ht="12.75" customHeight="1">
      <c r="A20" s="84"/>
      <c r="B20" s="69" t="s">
        <v>107</v>
      </c>
      <c r="C20" s="69">
        <v>14.0</v>
      </c>
      <c r="L20" s="67"/>
    </row>
    <row r="21" ht="12.75" customHeight="1">
      <c r="A21" s="84"/>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27.5"/>
    <col customWidth="1" min="4" max="4" width="13.13"/>
    <col customWidth="1" min="5" max="26" width="8.63"/>
  </cols>
  <sheetData>
    <row r="1" ht="12.75" customHeight="1"/>
    <row r="2" ht="12.75" customHeight="1">
      <c r="B2" s="69" t="s">
        <v>133</v>
      </c>
    </row>
    <row r="3" ht="12.75" customHeight="1">
      <c r="D3" s="69" t="s">
        <v>134</v>
      </c>
    </row>
    <row r="4" ht="12.75" customHeight="1">
      <c r="C4" s="69" t="s">
        <v>135</v>
      </c>
    </row>
    <row r="5" ht="12.75" customHeight="1">
      <c r="C5" s="69" t="s">
        <v>136</v>
      </c>
    </row>
    <row r="6" ht="12.75" customHeight="1">
      <c r="C6" s="69" t="s">
        <v>137</v>
      </c>
    </row>
    <row r="7" ht="12.75" customHeight="1">
      <c r="C7" s="69" t="s">
        <v>138</v>
      </c>
    </row>
    <row r="8" ht="12.75" customHeight="1">
      <c r="C8" s="69" t="s">
        <v>139</v>
      </c>
    </row>
    <row r="9" ht="12.75" customHeight="1">
      <c r="C9" s="69" t="s">
        <v>140</v>
      </c>
    </row>
    <row r="10" ht="12.75" customHeight="1">
      <c r="C10" s="69" t="s">
        <v>141</v>
      </c>
    </row>
    <row r="11" ht="12.75" customHeight="1">
      <c r="C11" s="69" t="s">
        <v>142</v>
      </c>
    </row>
    <row r="12" ht="12.75" customHeight="1">
      <c r="C12" s="69" t="s">
        <v>143</v>
      </c>
    </row>
    <row r="13" ht="12.75" customHeight="1">
      <c r="C13" s="69" t="s">
        <v>144</v>
      </c>
    </row>
    <row r="14" ht="12.75" customHeight="1">
      <c r="C14" s="69" t="s">
        <v>145</v>
      </c>
    </row>
    <row r="15" ht="12.75" customHeight="1"/>
    <row r="16" ht="12.75" customHeight="1">
      <c r="B16" s="69" t="s">
        <v>146</v>
      </c>
      <c r="C16" s="69" t="s">
        <v>147</v>
      </c>
    </row>
    <row r="17" ht="12.75" customHeight="1">
      <c r="B17" s="69" t="s">
        <v>148</v>
      </c>
      <c r="C17" s="69" t="s">
        <v>149</v>
      </c>
    </row>
    <row r="18" ht="12.75" customHeight="1">
      <c r="C18" s="69" t="s">
        <v>150</v>
      </c>
    </row>
    <row r="19" ht="12.75" customHeight="1">
      <c r="C19" s="69" t="s">
        <v>151</v>
      </c>
    </row>
    <row r="20" ht="12.75" customHeight="1"/>
    <row r="21" ht="12.75" customHeight="1">
      <c r="B21" s="69" t="s">
        <v>152</v>
      </c>
      <c r="C21" s="69" t="s">
        <v>153</v>
      </c>
    </row>
    <row r="22" ht="12.75" customHeight="1">
      <c r="C22" s="69" t="s">
        <v>154</v>
      </c>
    </row>
    <row r="23" ht="12.75" customHeight="1">
      <c r="C23" s="69" t="s">
        <v>155</v>
      </c>
    </row>
    <row r="24" ht="12.75" customHeight="1">
      <c r="C24" s="69" t="s">
        <v>156</v>
      </c>
    </row>
    <row r="25" ht="12.75" customHeight="1">
      <c r="C25" s="69" t="s">
        <v>157</v>
      </c>
    </row>
    <row r="26" ht="12.75" customHeight="1">
      <c r="C26" s="70" t="s">
        <v>158</v>
      </c>
    </row>
    <row r="27" ht="12.75" customHeight="1">
      <c r="C27" s="70" t="s">
        <v>159</v>
      </c>
    </row>
    <row r="28" ht="12.75" customHeight="1">
      <c r="C28" s="70" t="s">
        <v>160</v>
      </c>
    </row>
    <row r="29" ht="12.75" customHeight="1">
      <c r="C29" s="70" t="s">
        <v>161</v>
      </c>
    </row>
    <row r="30" ht="12.75" customHeight="1">
      <c r="C30" s="70" t="s">
        <v>162</v>
      </c>
    </row>
    <row r="31" ht="12.75" customHeight="1">
      <c r="C31" s="70" t="s">
        <v>163</v>
      </c>
    </row>
    <row r="32" ht="12.75" customHeight="1">
      <c r="C32" s="70" t="s">
        <v>164</v>
      </c>
    </row>
    <row r="33" ht="12.75" customHeight="1">
      <c r="C33" s="69" t="s">
        <v>165</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8.75"/>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166</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9" t="s">
        <v>29</v>
      </c>
      <c r="B5" s="29">
        <v>4.3</v>
      </c>
      <c r="C5" s="29">
        <v>0.74</v>
      </c>
      <c r="D5" s="29">
        <v>91.0</v>
      </c>
      <c r="E5" s="29">
        <v>0.15</v>
      </c>
      <c r="F5" s="29">
        <v>29.0</v>
      </c>
      <c r="G5" s="29">
        <v>94.0</v>
      </c>
      <c r="H5" s="29">
        <v>13.4</v>
      </c>
      <c r="I5" s="29">
        <v>170.0</v>
      </c>
      <c r="J5" s="29">
        <v>5.3</v>
      </c>
      <c r="K5" s="29">
        <v>55.0</v>
      </c>
      <c r="L5" s="86"/>
      <c r="M5" s="87"/>
      <c r="N5" s="87"/>
      <c r="O5" s="87"/>
      <c r="P5" s="87"/>
      <c r="Q5" s="87"/>
      <c r="R5" s="87"/>
      <c r="S5" s="87"/>
      <c r="T5" s="87"/>
      <c r="U5" s="87"/>
      <c r="V5" s="87"/>
      <c r="W5" s="87"/>
      <c r="X5" s="87"/>
      <c r="Y5" s="87"/>
      <c r="Z5" s="87"/>
    </row>
    <row r="6" ht="12.75" customHeight="1">
      <c r="A6" s="31" t="s">
        <v>30</v>
      </c>
      <c r="B6" s="32" t="s">
        <v>32</v>
      </c>
      <c r="C6" s="32" t="s">
        <v>32</v>
      </c>
      <c r="D6" s="32" t="s">
        <v>32</v>
      </c>
      <c r="E6" s="32" t="s">
        <v>33</v>
      </c>
      <c r="F6" s="32" t="s">
        <v>34</v>
      </c>
      <c r="G6" s="32" t="s">
        <v>35</v>
      </c>
      <c r="H6" s="32" t="s">
        <v>34</v>
      </c>
      <c r="I6" s="32" t="s">
        <v>36</v>
      </c>
      <c r="J6" s="32" t="s">
        <v>167</v>
      </c>
      <c r="K6" s="32" t="s">
        <v>38</v>
      </c>
      <c r="L6" s="88"/>
      <c r="M6" s="88"/>
      <c r="N6" s="88"/>
      <c r="O6" s="88"/>
      <c r="P6" s="88"/>
      <c r="Q6" s="88"/>
      <c r="R6" s="88"/>
      <c r="S6" s="88"/>
      <c r="T6" s="88"/>
      <c r="U6" s="88"/>
      <c r="V6" s="88"/>
      <c r="W6" s="88"/>
      <c r="X6" s="88"/>
      <c r="Y6" s="88"/>
      <c r="Z6" s="88"/>
    </row>
    <row r="7" ht="12.75" customHeight="1">
      <c r="A7" s="33" t="s">
        <v>39</v>
      </c>
      <c r="B7" s="34">
        <v>10.0</v>
      </c>
      <c r="C7" s="34">
        <v>88.4</v>
      </c>
      <c r="D7" s="34">
        <v>0.0555</v>
      </c>
      <c r="E7" s="34">
        <v>0.1</v>
      </c>
      <c r="F7" s="34"/>
      <c r="G7" s="34"/>
      <c r="H7" s="34"/>
      <c r="I7" s="34"/>
      <c r="J7" s="34"/>
      <c r="K7" s="34"/>
      <c r="L7" s="67"/>
    </row>
    <row r="8" ht="12.75" customHeight="1">
      <c r="A8" s="35" t="s">
        <v>40</v>
      </c>
      <c r="B8" s="36">
        <f t="shared" ref="B8:D8" si="1">B5*B7</f>
        <v>43</v>
      </c>
      <c r="C8" s="37">
        <f t="shared" si="1"/>
        <v>65.416</v>
      </c>
      <c r="D8" s="38">
        <f t="shared" si="1"/>
        <v>5.0505</v>
      </c>
      <c r="E8" s="37">
        <f>LN(E5*E7)</f>
        <v>-4.199705078</v>
      </c>
      <c r="F8" s="36">
        <f t="shared" ref="F8:K8" si="2">F5</f>
        <v>29</v>
      </c>
      <c r="G8" s="36">
        <f t="shared" si="2"/>
        <v>94</v>
      </c>
      <c r="H8" s="36">
        <f t="shared" si="2"/>
        <v>13.4</v>
      </c>
      <c r="I8" s="36">
        <f t="shared" si="2"/>
        <v>170</v>
      </c>
      <c r="J8" s="36">
        <f t="shared" si="2"/>
        <v>5.3</v>
      </c>
      <c r="K8" s="36">
        <f t="shared" si="2"/>
        <v>55</v>
      </c>
      <c r="L8" s="88"/>
      <c r="M8" s="88"/>
      <c r="N8" s="88"/>
      <c r="O8" s="88"/>
      <c r="P8" s="88"/>
      <c r="Q8" s="88"/>
      <c r="R8" s="88"/>
      <c r="S8" s="88"/>
      <c r="T8" s="88"/>
      <c r="U8" s="88"/>
      <c r="V8" s="88"/>
      <c r="W8" s="88"/>
      <c r="X8" s="88"/>
      <c r="Y8" s="88"/>
      <c r="Z8" s="88"/>
    </row>
    <row r="9" ht="12.75" customHeight="1">
      <c r="A9" s="31" t="s">
        <v>41</v>
      </c>
      <c r="B9" s="32" t="s">
        <v>42</v>
      </c>
      <c r="C9" s="39" t="s">
        <v>168</v>
      </c>
      <c r="D9" s="32" t="s">
        <v>44</v>
      </c>
      <c r="E9" s="32" t="s">
        <v>45</v>
      </c>
      <c r="F9" s="32" t="s">
        <v>34</v>
      </c>
      <c r="G9" s="32" t="s">
        <v>35</v>
      </c>
      <c r="H9" s="32" t="s">
        <v>34</v>
      </c>
      <c r="I9" s="32" t="s">
        <v>36</v>
      </c>
      <c r="J9" s="32" t="s">
        <v>169</v>
      </c>
      <c r="K9" s="32" t="s">
        <v>38</v>
      </c>
      <c r="L9" s="88"/>
      <c r="M9" s="88"/>
      <c r="N9" s="88"/>
      <c r="O9" s="88"/>
      <c r="P9" s="88"/>
      <c r="Q9" s="88"/>
      <c r="R9" s="88"/>
      <c r="S9" s="88"/>
      <c r="T9" s="88"/>
      <c r="U9" s="88"/>
      <c r="V9" s="88"/>
      <c r="W9" s="88"/>
      <c r="X9" s="88"/>
      <c r="Y9" s="88"/>
      <c r="Z9" s="88"/>
    </row>
    <row r="10" ht="12.75" customHeight="1">
      <c r="A10" s="33" t="s">
        <v>47</v>
      </c>
      <c r="B10" s="34">
        <v>-0.0336</v>
      </c>
      <c r="C10" s="34">
        <v>0.0095</v>
      </c>
      <c r="D10" s="34">
        <v>0.1953</v>
      </c>
      <c r="E10" s="34">
        <v>0.0954</v>
      </c>
      <c r="F10" s="34">
        <v>-0.012</v>
      </c>
      <c r="G10" s="34">
        <v>0.0268</v>
      </c>
      <c r="H10" s="34">
        <v>0.3306</v>
      </c>
      <c r="I10" s="34">
        <v>0.0019</v>
      </c>
      <c r="J10" s="34">
        <v>0.0554</v>
      </c>
      <c r="K10" s="34">
        <v>0.0804</v>
      </c>
      <c r="L10" s="67"/>
    </row>
    <row r="11" ht="12.75" customHeight="1">
      <c r="A11" s="40" t="s">
        <v>48</v>
      </c>
      <c r="B11" s="41">
        <f t="shared" ref="B11:K11" si="3">B8*B10</f>
        <v>-1.4448</v>
      </c>
      <c r="C11" s="41">
        <f t="shared" si="3"/>
        <v>0.621452</v>
      </c>
      <c r="D11" s="41">
        <f t="shared" si="3"/>
        <v>0.98636265</v>
      </c>
      <c r="E11" s="41">
        <f t="shared" si="3"/>
        <v>-0.4006518644</v>
      </c>
      <c r="F11" s="41">
        <f t="shared" si="3"/>
        <v>-0.348</v>
      </c>
      <c r="G11" s="41">
        <f t="shared" si="3"/>
        <v>2.5192</v>
      </c>
      <c r="H11" s="41">
        <f t="shared" si="3"/>
        <v>4.43004</v>
      </c>
      <c r="I11" s="41">
        <f t="shared" si="3"/>
        <v>0.323</v>
      </c>
      <c r="J11" s="41">
        <f t="shared" si="3"/>
        <v>0.29362</v>
      </c>
      <c r="K11" s="41">
        <f t="shared" si="3"/>
        <v>4.422</v>
      </c>
      <c r="L11" s="89"/>
      <c r="M11" s="89"/>
      <c r="N11" s="89"/>
      <c r="O11" s="89"/>
      <c r="P11" s="89"/>
      <c r="Q11" s="89"/>
      <c r="R11" s="89"/>
      <c r="S11" s="89"/>
      <c r="T11" s="89"/>
      <c r="U11" s="89"/>
      <c r="V11" s="89"/>
      <c r="W11" s="89"/>
      <c r="X11" s="89"/>
      <c r="Y11" s="89"/>
      <c r="Z11" s="89"/>
    </row>
    <row r="12" ht="12.75" customHeight="1">
      <c r="A12" s="42" t="s">
        <v>49</v>
      </c>
      <c r="K12" s="43"/>
      <c r="L12" s="67"/>
    </row>
    <row r="13" ht="12.75" customHeight="1">
      <c r="A13" s="44" t="s">
        <v>50</v>
      </c>
      <c r="B13" s="45">
        <v>10.0</v>
      </c>
      <c r="C13" s="45" t="s">
        <v>51</v>
      </c>
      <c r="D13" s="45">
        <f>B13*12</f>
        <v>120</v>
      </c>
      <c r="E13" s="45" t="s">
        <v>52</v>
      </c>
      <c r="K13" s="43"/>
      <c r="L13" s="67"/>
    </row>
    <row r="14" ht="12.75" customHeight="1">
      <c r="A14" s="46" t="s">
        <v>53</v>
      </c>
      <c r="B14" s="34">
        <v>0.0076927</v>
      </c>
      <c r="C14" s="43"/>
      <c r="K14" s="43"/>
      <c r="L14" s="67"/>
    </row>
    <row r="15" ht="12.75" customHeight="1">
      <c r="A15" s="47" t="s">
        <v>54</v>
      </c>
      <c r="B15" s="48">
        <v>-19.9067</v>
      </c>
      <c r="C15" s="49"/>
      <c r="K15" s="43"/>
      <c r="L15" s="67"/>
    </row>
    <row r="16" ht="12.75" customHeight="1">
      <c r="A16" s="50"/>
      <c r="B16" s="50" t="s">
        <v>55</v>
      </c>
      <c r="C16" s="50" t="s">
        <v>56</v>
      </c>
      <c r="D16" s="50" t="s">
        <v>57</v>
      </c>
      <c r="E16" s="50" t="s">
        <v>58</v>
      </c>
      <c r="F16" s="50" t="s">
        <v>59</v>
      </c>
      <c r="G16" s="54"/>
      <c r="H16" s="54"/>
      <c r="I16" s="54"/>
      <c r="J16" s="54"/>
      <c r="K16" s="55"/>
      <c r="L16" s="54"/>
      <c r="M16" s="54"/>
      <c r="N16" s="54"/>
      <c r="O16" s="54"/>
      <c r="P16" s="54"/>
      <c r="Q16" s="54"/>
      <c r="R16" s="54"/>
      <c r="S16" s="54"/>
      <c r="T16" s="54"/>
      <c r="U16" s="54"/>
      <c r="V16" s="54"/>
      <c r="W16" s="54"/>
      <c r="X16" s="54"/>
      <c r="Y16" s="54"/>
      <c r="Z16" s="54"/>
    </row>
    <row r="17" ht="12.75" customHeight="1">
      <c r="A17" s="90" t="s">
        <v>61</v>
      </c>
      <c r="B17" s="91">
        <f>B11+C11+D11+E11+F11+G11+H11+I11+J11+K11+B15</f>
        <v>-8.504477214</v>
      </c>
      <c r="C17" s="92">
        <f>1-EXP(-EXP(B17)*(EXP(B14*D13)-1)/B14)</f>
        <v>0.03916102043</v>
      </c>
      <c r="D17" s="90">
        <f>141.50225 + LN(-0.00553*LN(1 -C17))/0.09165</f>
        <v>49.65573454</v>
      </c>
      <c r="E17" s="90">
        <f>D17/(1+1.28047*EXP(0.0344329*(-182.344+D17)))</f>
        <v>49.00502489</v>
      </c>
      <c r="F17" s="92">
        <f>1 - EXP(-0.000520363523*EXP(0.090165*E17))</f>
        <v>0.04225824838</v>
      </c>
      <c r="G17" s="61"/>
      <c r="H17" s="61"/>
      <c r="I17" s="61"/>
      <c r="J17" s="61"/>
      <c r="K17" s="62"/>
      <c r="L17" s="54"/>
      <c r="M17" s="54"/>
      <c r="N17" s="54"/>
      <c r="O17" s="54"/>
      <c r="P17" s="54"/>
      <c r="Q17" s="54"/>
      <c r="R17" s="54"/>
      <c r="S17" s="54"/>
      <c r="T17" s="54"/>
      <c r="U17" s="54"/>
      <c r="V17" s="54"/>
      <c r="W17" s="54"/>
      <c r="X17" s="54"/>
      <c r="Y17" s="54"/>
      <c r="Z17" s="54"/>
    </row>
    <row r="18" ht="12.75" customHeight="1">
      <c r="A18" s="84"/>
      <c r="L18" s="67"/>
    </row>
    <row r="19" ht="12.75" customHeight="1">
      <c r="A19" s="84"/>
      <c r="B19" s="69" t="s">
        <v>93</v>
      </c>
      <c r="C19" s="69">
        <v>1165.0</v>
      </c>
      <c r="L19" s="67"/>
    </row>
    <row r="20" ht="12.75" customHeight="1">
      <c r="A20" s="84"/>
      <c r="B20" s="69" t="s">
        <v>107</v>
      </c>
      <c r="C20" s="69">
        <v>15.0</v>
      </c>
      <c r="L20" s="67"/>
    </row>
    <row r="21" ht="12.75" customHeight="1">
      <c r="A21" s="84"/>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8.75"/>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170</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9" t="s">
        <v>29</v>
      </c>
      <c r="B5" s="29">
        <v>3.9</v>
      </c>
      <c r="C5" s="29">
        <v>0.69</v>
      </c>
      <c r="D5" s="29">
        <v>95.0</v>
      </c>
      <c r="E5" s="29">
        <v>3.24</v>
      </c>
      <c r="F5" s="29">
        <v>26.0</v>
      </c>
      <c r="G5" s="29">
        <v>88.0</v>
      </c>
      <c r="H5" s="29">
        <v>12.8</v>
      </c>
      <c r="I5" s="29">
        <v>164.0</v>
      </c>
      <c r="J5" s="29">
        <v>4.9</v>
      </c>
      <c r="K5" s="29">
        <v>56.0</v>
      </c>
      <c r="L5" s="86"/>
      <c r="M5" s="87"/>
      <c r="N5" s="87"/>
      <c r="O5" s="87"/>
      <c r="P5" s="87"/>
      <c r="Q5" s="87"/>
      <c r="R5" s="87"/>
      <c r="S5" s="87"/>
      <c r="T5" s="87"/>
      <c r="U5" s="87"/>
      <c r="V5" s="87"/>
      <c r="W5" s="87"/>
      <c r="X5" s="87"/>
      <c r="Y5" s="87"/>
      <c r="Z5" s="87"/>
    </row>
    <row r="6" ht="12.75" customHeight="1">
      <c r="A6" s="31" t="s">
        <v>30</v>
      </c>
      <c r="B6" s="32" t="s">
        <v>32</v>
      </c>
      <c r="C6" s="32" t="s">
        <v>32</v>
      </c>
      <c r="D6" s="32" t="s">
        <v>32</v>
      </c>
      <c r="E6" s="32" t="s">
        <v>33</v>
      </c>
      <c r="F6" s="32" t="s">
        <v>34</v>
      </c>
      <c r="G6" s="32" t="s">
        <v>35</v>
      </c>
      <c r="H6" s="32" t="s">
        <v>34</v>
      </c>
      <c r="I6" s="32" t="s">
        <v>36</v>
      </c>
      <c r="J6" s="32" t="s">
        <v>171</v>
      </c>
      <c r="K6" s="32" t="s">
        <v>38</v>
      </c>
      <c r="L6" s="88"/>
      <c r="M6" s="88"/>
      <c r="N6" s="88"/>
      <c r="O6" s="88"/>
      <c r="P6" s="88"/>
      <c r="Q6" s="88"/>
      <c r="R6" s="88"/>
      <c r="S6" s="88"/>
      <c r="T6" s="88"/>
      <c r="U6" s="88"/>
      <c r="V6" s="88"/>
      <c r="W6" s="88"/>
      <c r="X6" s="88"/>
      <c r="Y6" s="88"/>
      <c r="Z6" s="88"/>
    </row>
    <row r="7" ht="12.75" customHeight="1">
      <c r="A7" s="33" t="s">
        <v>39</v>
      </c>
      <c r="B7" s="34">
        <v>10.0</v>
      </c>
      <c r="C7" s="34">
        <v>88.4</v>
      </c>
      <c r="D7" s="34">
        <v>0.0555</v>
      </c>
      <c r="E7" s="34">
        <v>0.1</v>
      </c>
      <c r="F7" s="34"/>
      <c r="G7" s="34"/>
      <c r="H7" s="34"/>
      <c r="I7" s="34"/>
      <c r="J7" s="34"/>
      <c r="K7" s="34"/>
      <c r="L7" s="67"/>
    </row>
    <row r="8" ht="12.75" customHeight="1">
      <c r="A8" s="35" t="s">
        <v>40</v>
      </c>
      <c r="B8" s="36">
        <f t="shared" ref="B8:D8" si="1">B5*B7</f>
        <v>39</v>
      </c>
      <c r="C8" s="37">
        <f t="shared" si="1"/>
        <v>60.996</v>
      </c>
      <c r="D8" s="38">
        <f t="shared" si="1"/>
        <v>5.2725</v>
      </c>
      <c r="E8" s="37">
        <f>LN(E5*E7)</f>
        <v>-1.127011763</v>
      </c>
      <c r="F8" s="36">
        <f t="shared" ref="F8:K8" si="2">F5</f>
        <v>26</v>
      </c>
      <c r="G8" s="36">
        <f t="shared" si="2"/>
        <v>88</v>
      </c>
      <c r="H8" s="36">
        <f t="shared" si="2"/>
        <v>12.8</v>
      </c>
      <c r="I8" s="36">
        <f t="shared" si="2"/>
        <v>164</v>
      </c>
      <c r="J8" s="36">
        <f t="shared" si="2"/>
        <v>4.9</v>
      </c>
      <c r="K8" s="36">
        <f t="shared" si="2"/>
        <v>56</v>
      </c>
      <c r="L8" s="88"/>
      <c r="M8" s="88"/>
      <c r="N8" s="88"/>
      <c r="O8" s="88"/>
      <c r="P8" s="88"/>
      <c r="Q8" s="88"/>
      <c r="R8" s="88"/>
      <c r="S8" s="88"/>
      <c r="T8" s="88"/>
      <c r="U8" s="88"/>
      <c r="V8" s="88"/>
      <c r="W8" s="88"/>
      <c r="X8" s="88"/>
      <c r="Y8" s="88"/>
      <c r="Z8" s="88"/>
    </row>
    <row r="9" ht="12.75" customHeight="1">
      <c r="A9" s="31" t="s">
        <v>41</v>
      </c>
      <c r="B9" s="32" t="s">
        <v>42</v>
      </c>
      <c r="C9" s="39" t="s">
        <v>172</v>
      </c>
      <c r="D9" s="32" t="s">
        <v>44</v>
      </c>
      <c r="E9" s="32" t="s">
        <v>45</v>
      </c>
      <c r="F9" s="32" t="s">
        <v>34</v>
      </c>
      <c r="G9" s="32" t="s">
        <v>35</v>
      </c>
      <c r="H9" s="32" t="s">
        <v>34</v>
      </c>
      <c r="I9" s="32" t="s">
        <v>36</v>
      </c>
      <c r="J9" s="32" t="s">
        <v>173</v>
      </c>
      <c r="K9" s="32" t="s">
        <v>38</v>
      </c>
      <c r="L9" s="88"/>
      <c r="M9" s="88"/>
      <c r="N9" s="88"/>
      <c r="O9" s="88"/>
      <c r="P9" s="88"/>
      <c r="Q9" s="88"/>
      <c r="R9" s="88"/>
      <c r="S9" s="88"/>
      <c r="T9" s="88"/>
      <c r="U9" s="88"/>
      <c r="V9" s="88"/>
      <c r="W9" s="88"/>
      <c r="X9" s="88"/>
      <c r="Y9" s="88"/>
      <c r="Z9" s="88"/>
    </row>
    <row r="10" ht="12.75" customHeight="1">
      <c r="A10" s="33" t="s">
        <v>47</v>
      </c>
      <c r="B10" s="34">
        <v>-0.0336</v>
      </c>
      <c r="C10" s="34">
        <v>0.0095</v>
      </c>
      <c r="D10" s="34">
        <v>0.1953</v>
      </c>
      <c r="E10" s="34">
        <v>0.0954</v>
      </c>
      <c r="F10" s="34">
        <v>-0.012</v>
      </c>
      <c r="G10" s="34">
        <v>0.0268</v>
      </c>
      <c r="H10" s="34">
        <v>0.3306</v>
      </c>
      <c r="I10" s="34">
        <v>0.0019</v>
      </c>
      <c r="J10" s="34">
        <v>0.0554</v>
      </c>
      <c r="K10" s="34">
        <v>0.0804</v>
      </c>
      <c r="L10" s="67"/>
    </row>
    <row r="11" ht="12.75" customHeight="1">
      <c r="A11" s="40" t="s">
        <v>48</v>
      </c>
      <c r="B11" s="41">
        <f t="shared" ref="B11:K11" si="3">B8*B10</f>
        <v>-1.3104</v>
      </c>
      <c r="C11" s="41">
        <f t="shared" si="3"/>
        <v>0.579462</v>
      </c>
      <c r="D11" s="41">
        <f t="shared" si="3"/>
        <v>1.02971925</v>
      </c>
      <c r="E11" s="41">
        <f t="shared" si="3"/>
        <v>-0.1075169222</v>
      </c>
      <c r="F11" s="41">
        <f t="shared" si="3"/>
        <v>-0.312</v>
      </c>
      <c r="G11" s="41">
        <f t="shared" si="3"/>
        <v>2.3584</v>
      </c>
      <c r="H11" s="41">
        <f t="shared" si="3"/>
        <v>4.23168</v>
      </c>
      <c r="I11" s="41">
        <f t="shared" si="3"/>
        <v>0.3116</v>
      </c>
      <c r="J11" s="41">
        <f t="shared" si="3"/>
        <v>0.27146</v>
      </c>
      <c r="K11" s="41">
        <f t="shared" si="3"/>
        <v>4.5024</v>
      </c>
      <c r="L11" s="89"/>
      <c r="M11" s="89"/>
      <c r="N11" s="89"/>
      <c r="O11" s="89"/>
      <c r="P11" s="89"/>
      <c r="Q11" s="89"/>
      <c r="R11" s="89"/>
      <c r="S11" s="89"/>
      <c r="T11" s="89"/>
      <c r="U11" s="89"/>
      <c r="V11" s="89"/>
      <c r="W11" s="89"/>
      <c r="X11" s="89"/>
      <c r="Y11" s="89"/>
      <c r="Z11" s="89"/>
    </row>
    <row r="12" ht="12.75" customHeight="1">
      <c r="A12" s="42" t="s">
        <v>49</v>
      </c>
      <c r="K12" s="43"/>
      <c r="L12" s="67"/>
    </row>
    <row r="13" ht="12.75" customHeight="1">
      <c r="A13" s="44" t="s">
        <v>50</v>
      </c>
      <c r="B13" s="45">
        <v>10.0</v>
      </c>
      <c r="C13" s="45" t="s">
        <v>51</v>
      </c>
      <c r="D13" s="45">
        <f>B13*12</f>
        <v>120</v>
      </c>
      <c r="E13" s="45" t="s">
        <v>52</v>
      </c>
      <c r="K13" s="43"/>
      <c r="L13" s="67"/>
    </row>
    <row r="14" ht="12.75" customHeight="1">
      <c r="A14" s="46" t="s">
        <v>53</v>
      </c>
      <c r="B14" s="34">
        <v>0.0076927</v>
      </c>
      <c r="C14" s="43"/>
      <c r="K14" s="43"/>
      <c r="L14" s="67"/>
    </row>
    <row r="15" ht="12.75" customHeight="1">
      <c r="A15" s="47" t="s">
        <v>54</v>
      </c>
      <c r="B15" s="48">
        <v>-19.9067</v>
      </c>
      <c r="C15" s="49"/>
      <c r="K15" s="43"/>
      <c r="L15" s="67"/>
    </row>
    <row r="16" ht="12.75" customHeight="1">
      <c r="A16" s="50"/>
      <c r="B16" s="50" t="s">
        <v>55</v>
      </c>
      <c r="C16" s="50" t="s">
        <v>56</v>
      </c>
      <c r="D16" s="50" t="s">
        <v>57</v>
      </c>
      <c r="E16" s="50" t="s">
        <v>58</v>
      </c>
      <c r="F16" s="50" t="s">
        <v>59</v>
      </c>
      <c r="G16" s="54"/>
      <c r="H16" s="54"/>
      <c r="I16" s="54"/>
      <c r="J16" s="54"/>
      <c r="K16" s="55"/>
      <c r="L16" s="54"/>
      <c r="M16" s="54"/>
      <c r="N16" s="54"/>
      <c r="O16" s="54"/>
      <c r="P16" s="54"/>
      <c r="Q16" s="54"/>
      <c r="R16" s="54"/>
      <c r="S16" s="54"/>
      <c r="T16" s="54"/>
      <c r="U16" s="54"/>
      <c r="V16" s="54"/>
      <c r="W16" s="54"/>
      <c r="X16" s="54"/>
      <c r="Y16" s="54"/>
      <c r="Z16" s="54"/>
    </row>
    <row r="17" ht="12.75" customHeight="1">
      <c r="A17" s="90" t="s">
        <v>61</v>
      </c>
      <c r="B17" s="91">
        <f>B11+C11+D11+E11+F11+G11+H11+I11+J11+K11+B15</f>
        <v>-8.351895672</v>
      </c>
      <c r="C17" s="92">
        <f>1-EXP(-EXP(B17)*(EXP(B14*D13)-1)/B14)</f>
        <v>0.04546735728</v>
      </c>
      <c r="D17" s="90">
        <f>141.50225 + LN(-0.00553*LN(1 -C17))/0.09165</f>
        <v>51.32056315</v>
      </c>
      <c r="E17" s="90">
        <f>D17/(1+1.28047*EXP(0.0344329*(-182.344+D17)))</f>
        <v>50.60890819</v>
      </c>
      <c r="F17" s="92">
        <f>1 - EXP(-0.000520363523*EXP(0.090165*E17))</f>
        <v>0.04867087063</v>
      </c>
      <c r="G17" s="61"/>
      <c r="H17" s="61"/>
      <c r="I17" s="61"/>
      <c r="J17" s="61"/>
      <c r="K17" s="62"/>
      <c r="L17" s="54"/>
      <c r="M17" s="54"/>
      <c r="N17" s="54"/>
      <c r="O17" s="54"/>
      <c r="P17" s="54"/>
      <c r="Q17" s="54"/>
      <c r="R17" s="54"/>
      <c r="S17" s="54"/>
      <c r="T17" s="54"/>
      <c r="U17" s="54"/>
      <c r="V17" s="54"/>
      <c r="W17" s="54"/>
      <c r="X17" s="54"/>
      <c r="Y17" s="54"/>
      <c r="Z17" s="54"/>
    </row>
    <row r="18" ht="12.75" customHeight="1">
      <c r="A18" s="84"/>
      <c r="L18" s="67"/>
    </row>
    <row r="19" ht="12.75" customHeight="1">
      <c r="A19" s="84"/>
      <c r="B19" s="69" t="s">
        <v>93</v>
      </c>
      <c r="C19" s="69">
        <v>1165.0</v>
      </c>
      <c r="L19" s="67"/>
    </row>
    <row r="20" ht="12.75" customHeight="1">
      <c r="A20" s="84"/>
      <c r="L20" s="67"/>
    </row>
    <row r="21" ht="12.75" customHeight="1">
      <c r="A21" s="84"/>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2" width="8.75"/>
    <col customWidth="1" min="3" max="3" width="10.13"/>
    <col customWidth="1" min="4" max="4" width="10.38"/>
    <col customWidth="1" min="5" max="5" width="14.25"/>
    <col customWidth="1" min="6" max="6" width="13.38"/>
    <col customWidth="1" min="7" max="8" width="9.63"/>
    <col customWidth="1" min="9" max="9" width="11.5"/>
    <col customWidth="1" min="10" max="10" width="11.38"/>
    <col customWidth="1" min="11" max="11" width="8.88"/>
    <col customWidth="1" min="12" max="12" width="19.0"/>
    <col customWidth="1" min="13" max="26" width="8.75"/>
  </cols>
  <sheetData>
    <row r="1" ht="12.75" customHeight="1">
      <c r="A1" s="4" t="s">
        <v>174</v>
      </c>
      <c r="B1" s="2"/>
      <c r="C1" s="2"/>
      <c r="D1" s="2"/>
      <c r="E1" s="2"/>
      <c r="F1" s="2"/>
      <c r="G1" s="2"/>
      <c r="H1" s="2"/>
      <c r="I1" s="2"/>
      <c r="J1" s="2"/>
      <c r="K1" s="3"/>
      <c r="L1" s="74"/>
      <c r="M1" s="74"/>
      <c r="N1" s="74"/>
      <c r="O1" s="74"/>
      <c r="P1" s="74"/>
      <c r="Q1" s="74"/>
      <c r="R1" s="74"/>
      <c r="S1" s="74"/>
      <c r="T1" s="74"/>
      <c r="U1" s="74"/>
      <c r="V1" s="74"/>
      <c r="W1" s="74"/>
      <c r="X1" s="74"/>
      <c r="Y1" s="74"/>
      <c r="Z1" s="74"/>
    </row>
    <row r="2" ht="12.75" customHeight="1">
      <c r="A2" s="75" t="s">
        <v>2</v>
      </c>
      <c r="K2" s="6"/>
      <c r="L2" s="76"/>
      <c r="M2" s="76"/>
      <c r="N2" s="76"/>
      <c r="O2" s="76"/>
      <c r="P2" s="76"/>
      <c r="Q2" s="76"/>
      <c r="R2" s="76"/>
      <c r="S2" s="76"/>
      <c r="T2" s="76"/>
      <c r="U2" s="76"/>
      <c r="V2" s="76"/>
      <c r="W2" s="76"/>
      <c r="X2" s="76"/>
      <c r="Y2" s="76"/>
      <c r="Z2" s="76"/>
    </row>
    <row r="3" ht="12.75" customHeight="1">
      <c r="A3" s="77" t="s">
        <v>82</v>
      </c>
      <c r="B3" s="78"/>
      <c r="C3" s="78"/>
      <c r="D3" s="78"/>
      <c r="E3" s="78"/>
      <c r="F3" s="78"/>
      <c r="G3" s="78"/>
      <c r="H3" s="78"/>
      <c r="I3" s="78"/>
      <c r="J3" s="78"/>
      <c r="K3" s="79"/>
      <c r="L3" s="80"/>
      <c r="M3" s="12"/>
      <c r="N3" s="12"/>
      <c r="O3" s="12"/>
      <c r="P3" s="12"/>
      <c r="Q3" s="12"/>
      <c r="R3" s="12"/>
      <c r="S3" s="12"/>
      <c r="T3" s="12"/>
      <c r="U3" s="12"/>
      <c r="V3" s="12"/>
      <c r="W3" s="12"/>
      <c r="X3" s="12"/>
      <c r="Y3" s="12"/>
      <c r="Z3" s="12"/>
    </row>
    <row r="4" ht="12.75" customHeight="1">
      <c r="A4" s="23" t="s">
        <v>12</v>
      </c>
      <c r="B4" s="24" t="s">
        <v>13</v>
      </c>
      <c r="C4" s="24" t="s">
        <v>14</v>
      </c>
      <c r="D4" s="24" t="s">
        <v>15</v>
      </c>
      <c r="E4" s="24" t="s">
        <v>83</v>
      </c>
      <c r="F4" s="24" t="s">
        <v>84</v>
      </c>
      <c r="G4" s="24" t="s">
        <v>85</v>
      </c>
      <c r="H4" s="24" t="s">
        <v>86</v>
      </c>
      <c r="I4" s="24" t="s">
        <v>20</v>
      </c>
      <c r="J4" s="24" t="s">
        <v>87</v>
      </c>
      <c r="K4" s="81" t="s">
        <v>22</v>
      </c>
      <c r="L4" s="82"/>
      <c r="M4" s="83"/>
      <c r="N4" s="83"/>
      <c r="O4" s="83"/>
      <c r="P4" s="83"/>
      <c r="Q4" s="83"/>
      <c r="R4" s="83"/>
      <c r="S4" s="83"/>
      <c r="T4" s="83"/>
      <c r="U4" s="83"/>
      <c r="V4" s="83"/>
      <c r="W4" s="83"/>
      <c r="X4" s="83"/>
      <c r="Y4" s="83"/>
      <c r="Z4" s="83"/>
    </row>
    <row r="5" ht="12.75" customHeight="1">
      <c r="A5" s="29" t="s">
        <v>29</v>
      </c>
      <c r="B5" s="29">
        <v>3.5</v>
      </c>
      <c r="C5" s="29">
        <v>0.49</v>
      </c>
      <c r="D5" s="29">
        <v>94.0</v>
      </c>
      <c r="E5" s="29">
        <v>3.24</v>
      </c>
      <c r="F5" s="29">
        <v>27.0</v>
      </c>
      <c r="G5" s="29">
        <v>88.0</v>
      </c>
      <c r="H5" s="29">
        <v>19.9</v>
      </c>
      <c r="I5" s="29">
        <v>164.0</v>
      </c>
      <c r="J5" s="29">
        <v>6.9</v>
      </c>
      <c r="K5" s="29">
        <v>56.0</v>
      </c>
      <c r="L5" s="86"/>
      <c r="M5" s="87"/>
      <c r="N5" s="87"/>
      <c r="O5" s="87"/>
      <c r="P5" s="87"/>
      <c r="Q5" s="87"/>
      <c r="R5" s="87"/>
      <c r="S5" s="87"/>
      <c r="T5" s="87"/>
      <c r="U5" s="87"/>
      <c r="V5" s="87"/>
      <c r="W5" s="87"/>
      <c r="X5" s="87"/>
      <c r="Y5" s="87"/>
      <c r="Z5" s="87"/>
    </row>
    <row r="6" ht="12.75" customHeight="1">
      <c r="A6" s="31" t="s">
        <v>30</v>
      </c>
      <c r="B6" s="32" t="s">
        <v>32</v>
      </c>
      <c r="C6" s="32" t="s">
        <v>32</v>
      </c>
      <c r="D6" s="32" t="s">
        <v>32</v>
      </c>
      <c r="E6" s="32" t="s">
        <v>33</v>
      </c>
      <c r="F6" s="32" t="s">
        <v>34</v>
      </c>
      <c r="G6" s="32" t="s">
        <v>35</v>
      </c>
      <c r="H6" s="32" t="s">
        <v>34</v>
      </c>
      <c r="I6" s="32" t="s">
        <v>36</v>
      </c>
      <c r="J6" s="32" t="s">
        <v>175</v>
      </c>
      <c r="K6" s="32" t="s">
        <v>38</v>
      </c>
      <c r="L6" s="88"/>
      <c r="M6" s="88"/>
      <c r="N6" s="88"/>
      <c r="O6" s="88"/>
      <c r="P6" s="88"/>
      <c r="Q6" s="88"/>
      <c r="R6" s="88"/>
      <c r="S6" s="88"/>
      <c r="T6" s="88"/>
      <c r="U6" s="88"/>
      <c r="V6" s="88"/>
      <c r="W6" s="88"/>
      <c r="X6" s="88"/>
      <c r="Y6" s="88"/>
      <c r="Z6" s="88"/>
    </row>
    <row r="7" ht="12.75" customHeight="1">
      <c r="A7" s="33" t="s">
        <v>39</v>
      </c>
      <c r="B7" s="34">
        <v>10.0</v>
      </c>
      <c r="C7" s="34">
        <v>88.4</v>
      </c>
      <c r="D7" s="34">
        <v>0.0555</v>
      </c>
      <c r="E7" s="34">
        <v>0.1</v>
      </c>
      <c r="F7" s="34"/>
      <c r="G7" s="34"/>
      <c r="H7" s="34"/>
      <c r="I7" s="34"/>
      <c r="J7" s="34"/>
      <c r="K7" s="34"/>
      <c r="L7" s="67"/>
    </row>
    <row r="8" ht="12.75" customHeight="1">
      <c r="A8" s="35" t="s">
        <v>40</v>
      </c>
      <c r="B8" s="36">
        <f t="shared" ref="B8:D8" si="1">B5*B7</f>
        <v>35</v>
      </c>
      <c r="C8" s="37">
        <f t="shared" si="1"/>
        <v>43.316</v>
      </c>
      <c r="D8" s="38">
        <f t="shared" si="1"/>
        <v>5.217</v>
      </c>
      <c r="E8" s="37">
        <f>LN(E5*E7)</f>
        <v>-1.127011763</v>
      </c>
      <c r="F8" s="36">
        <f t="shared" ref="F8:K8" si="2">F5</f>
        <v>27</v>
      </c>
      <c r="G8" s="36">
        <f t="shared" si="2"/>
        <v>88</v>
      </c>
      <c r="H8" s="36">
        <f t="shared" si="2"/>
        <v>19.9</v>
      </c>
      <c r="I8" s="36">
        <f t="shared" si="2"/>
        <v>164</v>
      </c>
      <c r="J8" s="36">
        <f t="shared" si="2"/>
        <v>6.9</v>
      </c>
      <c r="K8" s="36">
        <f t="shared" si="2"/>
        <v>56</v>
      </c>
      <c r="L8" s="88"/>
      <c r="M8" s="88"/>
      <c r="N8" s="88"/>
      <c r="O8" s="88"/>
      <c r="P8" s="88"/>
      <c r="Q8" s="88"/>
      <c r="R8" s="88"/>
      <c r="S8" s="88"/>
      <c r="T8" s="88"/>
      <c r="U8" s="88"/>
      <c r="V8" s="88"/>
      <c r="W8" s="88"/>
      <c r="X8" s="88"/>
      <c r="Y8" s="88"/>
      <c r="Z8" s="88"/>
    </row>
    <row r="9" ht="12.75" customHeight="1">
      <c r="A9" s="31" t="s">
        <v>41</v>
      </c>
      <c r="B9" s="32" t="s">
        <v>42</v>
      </c>
      <c r="C9" s="39" t="s">
        <v>176</v>
      </c>
      <c r="D9" s="32" t="s">
        <v>44</v>
      </c>
      <c r="E9" s="32" t="s">
        <v>45</v>
      </c>
      <c r="F9" s="32" t="s">
        <v>34</v>
      </c>
      <c r="G9" s="32" t="s">
        <v>35</v>
      </c>
      <c r="H9" s="32" t="s">
        <v>34</v>
      </c>
      <c r="I9" s="32" t="s">
        <v>36</v>
      </c>
      <c r="J9" s="32" t="s">
        <v>177</v>
      </c>
      <c r="K9" s="32" t="s">
        <v>38</v>
      </c>
      <c r="L9" s="88"/>
      <c r="M9" s="88"/>
      <c r="N9" s="88"/>
      <c r="O9" s="88"/>
      <c r="P9" s="88"/>
      <c r="Q9" s="88"/>
      <c r="R9" s="88"/>
      <c r="S9" s="88"/>
      <c r="T9" s="88"/>
      <c r="U9" s="88"/>
      <c r="V9" s="88"/>
      <c r="W9" s="88"/>
      <c r="X9" s="88"/>
      <c r="Y9" s="88"/>
      <c r="Z9" s="88"/>
    </row>
    <row r="10" ht="12.75" customHeight="1">
      <c r="A10" s="33" t="s">
        <v>47</v>
      </c>
      <c r="B10" s="34">
        <v>-0.0336</v>
      </c>
      <c r="C10" s="34">
        <v>0.0095</v>
      </c>
      <c r="D10" s="34">
        <v>0.1953</v>
      </c>
      <c r="E10" s="34">
        <v>0.0954</v>
      </c>
      <c r="F10" s="34">
        <v>-0.012</v>
      </c>
      <c r="G10" s="34">
        <v>0.0268</v>
      </c>
      <c r="H10" s="34">
        <v>0.3306</v>
      </c>
      <c r="I10" s="34">
        <v>0.0019</v>
      </c>
      <c r="J10" s="34">
        <v>0.0554</v>
      </c>
      <c r="K10" s="34">
        <v>0.0804</v>
      </c>
      <c r="L10" s="67"/>
    </row>
    <row r="11" ht="12.75" customHeight="1">
      <c r="A11" s="40" t="s">
        <v>48</v>
      </c>
      <c r="B11" s="41">
        <f t="shared" ref="B11:K11" si="3">B8*B10</f>
        <v>-1.176</v>
      </c>
      <c r="C11" s="41">
        <f t="shared" si="3"/>
        <v>0.411502</v>
      </c>
      <c r="D11" s="41">
        <f t="shared" si="3"/>
        <v>1.0188801</v>
      </c>
      <c r="E11" s="41">
        <f t="shared" si="3"/>
        <v>-0.1075169222</v>
      </c>
      <c r="F11" s="41">
        <f t="shared" si="3"/>
        <v>-0.324</v>
      </c>
      <c r="G11" s="41">
        <f t="shared" si="3"/>
        <v>2.3584</v>
      </c>
      <c r="H11" s="41">
        <f t="shared" si="3"/>
        <v>6.57894</v>
      </c>
      <c r="I11" s="41">
        <f t="shared" si="3"/>
        <v>0.3116</v>
      </c>
      <c r="J11" s="41">
        <f t="shared" si="3"/>
        <v>0.38226</v>
      </c>
      <c r="K11" s="41">
        <f t="shared" si="3"/>
        <v>4.5024</v>
      </c>
      <c r="L11" s="89"/>
      <c r="M11" s="89"/>
      <c r="N11" s="89"/>
      <c r="O11" s="89"/>
      <c r="P11" s="89"/>
      <c r="Q11" s="89"/>
      <c r="R11" s="89"/>
      <c r="S11" s="89"/>
      <c r="T11" s="89"/>
      <c r="U11" s="89"/>
      <c r="V11" s="89"/>
      <c r="W11" s="89"/>
      <c r="X11" s="89"/>
      <c r="Y11" s="89"/>
      <c r="Z11" s="89"/>
    </row>
    <row r="12" ht="12.75" customHeight="1">
      <c r="A12" s="42" t="s">
        <v>49</v>
      </c>
      <c r="K12" s="43"/>
      <c r="L12" s="67"/>
    </row>
    <row r="13" ht="12.75" customHeight="1">
      <c r="A13" s="44" t="s">
        <v>50</v>
      </c>
      <c r="B13" s="45">
        <v>10.0</v>
      </c>
      <c r="C13" s="45" t="s">
        <v>51</v>
      </c>
      <c r="D13" s="45">
        <f>B13*12</f>
        <v>120</v>
      </c>
      <c r="E13" s="45" t="s">
        <v>52</v>
      </c>
      <c r="K13" s="43"/>
      <c r="L13" s="67"/>
    </row>
    <row r="14" ht="12.75" customHeight="1">
      <c r="A14" s="46" t="s">
        <v>53</v>
      </c>
      <c r="B14" s="34">
        <v>0.0076927</v>
      </c>
      <c r="C14" s="43"/>
      <c r="K14" s="43"/>
      <c r="L14" s="67"/>
    </row>
    <row r="15" ht="12.75" customHeight="1">
      <c r="A15" s="47" t="s">
        <v>54</v>
      </c>
      <c r="B15" s="48">
        <v>-19.9067</v>
      </c>
      <c r="C15" s="49"/>
      <c r="K15" s="43"/>
      <c r="L15" s="67"/>
    </row>
    <row r="16" ht="12.75" customHeight="1">
      <c r="A16" s="50"/>
      <c r="B16" s="50" t="s">
        <v>55</v>
      </c>
      <c r="C16" s="50" t="s">
        <v>56</v>
      </c>
      <c r="D16" s="50" t="s">
        <v>57</v>
      </c>
      <c r="E16" s="50" t="s">
        <v>58</v>
      </c>
      <c r="F16" s="50" t="s">
        <v>59</v>
      </c>
      <c r="G16" s="54"/>
      <c r="H16" s="54"/>
      <c r="I16" s="54"/>
      <c r="J16" s="54"/>
      <c r="K16" s="55"/>
      <c r="L16" s="54"/>
      <c r="M16" s="54"/>
      <c r="N16" s="54"/>
      <c r="O16" s="54"/>
      <c r="P16" s="54"/>
      <c r="Q16" s="54"/>
      <c r="R16" s="54"/>
      <c r="S16" s="54"/>
      <c r="T16" s="54"/>
      <c r="U16" s="54"/>
      <c r="V16" s="54"/>
      <c r="W16" s="54"/>
      <c r="X16" s="54"/>
      <c r="Y16" s="54"/>
      <c r="Z16" s="54"/>
    </row>
    <row r="17" ht="12.75" customHeight="1">
      <c r="A17" s="90" t="s">
        <v>61</v>
      </c>
      <c r="B17" s="91">
        <f>B11+C11+D11+E11+F11+G11+H11+I11+J11+K11+B15</f>
        <v>-5.950234822</v>
      </c>
      <c r="C17" s="92">
        <f>1-EXP(-EXP(B17)*(EXP(B14*D13)-1)/B14)</f>
        <v>0.4017813314</v>
      </c>
      <c r="D17" s="90">
        <f>141.50225 + LN(-0.00553*LN(1 -C17))/0.09165</f>
        <v>77.52526419</v>
      </c>
      <c r="E17" s="90">
        <f>D17/(1+1.28047*EXP(0.0344329*(-182.344+D17)))</f>
        <v>74.92779128</v>
      </c>
      <c r="F17" s="92">
        <f>1 - EXP(-0.000520363523*EXP(0.090165*E17))</f>
        <v>0.3604784125</v>
      </c>
      <c r="G17" s="61"/>
      <c r="H17" s="61"/>
      <c r="I17" s="61"/>
      <c r="J17" s="61"/>
      <c r="K17" s="62"/>
      <c r="L17" s="54"/>
      <c r="M17" s="54"/>
      <c r="N17" s="54"/>
      <c r="O17" s="54"/>
      <c r="P17" s="54"/>
      <c r="Q17" s="54"/>
      <c r="R17" s="54"/>
      <c r="S17" s="54"/>
      <c r="T17" s="54"/>
      <c r="U17" s="54"/>
      <c r="V17" s="54"/>
      <c r="W17" s="54"/>
      <c r="X17" s="54"/>
      <c r="Y17" s="54"/>
      <c r="Z17" s="54"/>
    </row>
    <row r="18" ht="12.75" customHeight="1">
      <c r="A18" s="83"/>
      <c r="B18" s="98" t="s">
        <v>101</v>
      </c>
      <c r="C18" s="99" t="s">
        <v>102</v>
      </c>
      <c r="D18" s="98" t="s">
        <v>101</v>
      </c>
      <c r="E18" s="98" t="s">
        <v>101</v>
      </c>
      <c r="F18" s="100" t="s">
        <v>103</v>
      </c>
      <c r="G18" s="99" t="s">
        <v>102</v>
      </c>
      <c r="H18" s="100" t="s">
        <v>103</v>
      </c>
      <c r="I18" s="98" t="s">
        <v>101</v>
      </c>
      <c r="J18" s="99" t="s">
        <v>102</v>
      </c>
      <c r="K18" s="83">
        <v>56.0</v>
      </c>
      <c r="L18" s="67"/>
    </row>
    <row r="19" ht="12.75" customHeight="1">
      <c r="A19" s="87" t="s">
        <v>29</v>
      </c>
      <c r="B19" s="87">
        <v>4.4</v>
      </c>
      <c r="C19" s="87">
        <v>0.87</v>
      </c>
      <c r="D19" s="87">
        <v>105.0</v>
      </c>
      <c r="E19" s="87">
        <v>2.36</v>
      </c>
      <c r="F19" s="87">
        <v>27.0</v>
      </c>
      <c r="G19" s="87">
        <v>97.0</v>
      </c>
      <c r="H19" s="87">
        <v>13.7</v>
      </c>
      <c r="I19" s="87">
        <v>136.0</v>
      </c>
      <c r="J19" s="87">
        <v>6.0</v>
      </c>
      <c r="K19" s="87">
        <v>56.0</v>
      </c>
      <c r="L19" s="67"/>
    </row>
    <row r="20" ht="12.75" customHeight="1">
      <c r="A20" s="84" t="s">
        <v>30</v>
      </c>
      <c r="B20" s="88" t="s">
        <v>32</v>
      </c>
      <c r="C20" s="88" t="s">
        <v>32</v>
      </c>
      <c r="D20" s="88" t="s">
        <v>32</v>
      </c>
      <c r="E20" s="88" t="s">
        <v>33</v>
      </c>
      <c r="F20" s="88" t="s">
        <v>34</v>
      </c>
      <c r="G20" s="88" t="s">
        <v>35</v>
      </c>
      <c r="H20" s="88" t="s">
        <v>34</v>
      </c>
      <c r="I20" s="88" t="s">
        <v>36</v>
      </c>
      <c r="J20" s="88" t="s">
        <v>178</v>
      </c>
      <c r="K20" s="88" t="s">
        <v>38</v>
      </c>
      <c r="L20" s="67"/>
    </row>
    <row r="21" ht="12.75" customHeight="1">
      <c r="A21" s="84" t="s">
        <v>39</v>
      </c>
      <c r="B21" s="69">
        <v>10.0</v>
      </c>
      <c r="C21" s="69">
        <v>88.4</v>
      </c>
      <c r="D21" s="69">
        <v>0.0555</v>
      </c>
      <c r="E21" s="69">
        <v>0.1</v>
      </c>
      <c r="L21" s="67"/>
    </row>
    <row r="22" ht="12.75" customHeight="1">
      <c r="A22" s="84"/>
      <c r="L22" s="67"/>
    </row>
    <row r="23" ht="12.75" customHeight="1">
      <c r="A23" s="84"/>
      <c r="L23" s="67"/>
    </row>
    <row r="24" ht="12.75" customHeight="1">
      <c r="A24" s="84"/>
      <c r="L24" s="67"/>
    </row>
    <row r="25" ht="12.75" customHeight="1">
      <c r="A25" s="84"/>
      <c r="L25" s="67"/>
    </row>
    <row r="26" ht="12.75" customHeight="1">
      <c r="A26" s="84"/>
      <c r="L26" s="67"/>
    </row>
    <row r="27" ht="12.75" customHeight="1">
      <c r="A27" s="84"/>
      <c r="L27" s="67"/>
    </row>
    <row r="28" ht="12.75" customHeight="1">
      <c r="A28" s="84"/>
      <c r="L28" s="67"/>
    </row>
    <row r="29" ht="12.75" customHeight="1">
      <c r="A29" s="84"/>
      <c r="L29" s="67"/>
    </row>
    <row r="30" ht="12.75" customHeight="1">
      <c r="A30" s="84"/>
      <c r="L30" s="67"/>
    </row>
    <row r="31" ht="12.75" customHeight="1">
      <c r="A31" s="84"/>
      <c r="L31" s="67"/>
    </row>
    <row r="32" ht="12.75" customHeight="1">
      <c r="A32" s="84"/>
      <c r="L32" s="67"/>
    </row>
    <row r="33" ht="12.75" customHeight="1">
      <c r="A33" s="84"/>
      <c r="L33" s="67"/>
    </row>
    <row r="34" ht="12.75" customHeight="1">
      <c r="A34" s="84"/>
      <c r="L34" s="67"/>
    </row>
    <row r="35" ht="12.75" customHeight="1">
      <c r="A35" s="84"/>
      <c r="L35" s="67"/>
    </row>
    <row r="36" ht="12.75" customHeight="1">
      <c r="A36" s="84"/>
      <c r="L36" s="67"/>
    </row>
    <row r="37" ht="12.75" customHeight="1">
      <c r="A37" s="84"/>
      <c r="L37" s="67"/>
    </row>
    <row r="38" ht="12.75" customHeight="1">
      <c r="A38" s="84"/>
      <c r="L38" s="67"/>
    </row>
    <row r="39" ht="12.75" customHeight="1">
      <c r="A39" s="84"/>
      <c r="L39" s="67"/>
    </row>
    <row r="40" ht="12.75" customHeight="1">
      <c r="A40" s="84"/>
      <c r="L40" s="67"/>
    </row>
    <row r="41" ht="12.75" customHeight="1">
      <c r="A41" s="84"/>
      <c r="L41" s="67"/>
    </row>
    <row r="42" ht="12.75" customHeight="1">
      <c r="A42" s="84"/>
      <c r="L42" s="67"/>
    </row>
    <row r="43" ht="12.75" customHeight="1">
      <c r="A43" s="84"/>
      <c r="L43" s="67"/>
    </row>
    <row r="44" ht="12.75" customHeight="1">
      <c r="A44" s="84"/>
      <c r="L44" s="67"/>
    </row>
    <row r="45" ht="12.75" customHeight="1">
      <c r="A45" s="84"/>
      <c r="L45" s="67"/>
    </row>
    <row r="46" ht="12.75" customHeight="1">
      <c r="A46" s="84"/>
      <c r="L46" s="67"/>
    </row>
    <row r="47" ht="12.75" customHeight="1">
      <c r="A47" s="84"/>
      <c r="L47" s="67"/>
    </row>
    <row r="48" ht="12.75" customHeight="1">
      <c r="A48" s="84"/>
      <c r="L48" s="67"/>
    </row>
    <row r="49" ht="12.75" customHeight="1">
      <c r="A49" s="84"/>
      <c r="L49" s="67"/>
    </row>
    <row r="50" ht="12.75" customHeight="1">
      <c r="A50" s="84"/>
      <c r="L50" s="67"/>
    </row>
    <row r="51" ht="12.75" customHeight="1">
      <c r="A51" s="84"/>
      <c r="L51" s="67"/>
    </row>
    <row r="52" ht="12.75" customHeight="1">
      <c r="A52" s="84"/>
      <c r="L52" s="67"/>
    </row>
    <row r="53" ht="12.75" customHeight="1">
      <c r="A53" s="84"/>
      <c r="L53" s="67"/>
    </row>
    <row r="54" ht="12.75" customHeight="1">
      <c r="A54" s="84"/>
      <c r="L54" s="67"/>
    </row>
    <row r="55" ht="12.75" customHeight="1">
      <c r="A55" s="84"/>
      <c r="L55" s="67"/>
    </row>
    <row r="56" ht="12.75" customHeight="1">
      <c r="A56" s="84"/>
      <c r="L56" s="67"/>
    </row>
    <row r="57" ht="12.75" customHeight="1">
      <c r="A57" s="84"/>
      <c r="L57" s="67"/>
    </row>
    <row r="58" ht="12.75" customHeight="1">
      <c r="A58" s="84"/>
      <c r="L58" s="67"/>
    </row>
    <row r="59" ht="12.75" customHeight="1">
      <c r="A59" s="84"/>
      <c r="L59" s="67"/>
    </row>
    <row r="60" ht="12.75" customHeight="1">
      <c r="A60" s="84"/>
      <c r="L60" s="67"/>
    </row>
    <row r="61" ht="12.75" customHeight="1">
      <c r="A61" s="84"/>
      <c r="L61" s="67"/>
    </row>
    <row r="62" ht="12.75" customHeight="1">
      <c r="A62" s="84"/>
      <c r="L62" s="67"/>
    </row>
    <row r="63" ht="12.75" customHeight="1">
      <c r="A63" s="84"/>
      <c r="L63" s="67"/>
    </row>
    <row r="64" ht="12.75" customHeight="1">
      <c r="A64" s="84"/>
      <c r="L64" s="67"/>
    </row>
    <row r="65" ht="12.75" customHeight="1">
      <c r="A65" s="84"/>
      <c r="L65" s="67"/>
    </row>
    <row r="66" ht="12.75" customHeight="1">
      <c r="A66" s="84"/>
      <c r="L66" s="67"/>
    </row>
    <row r="67" ht="12.75" customHeight="1">
      <c r="A67" s="84"/>
      <c r="L67" s="67"/>
    </row>
    <row r="68" ht="12.75" customHeight="1">
      <c r="A68" s="84"/>
      <c r="L68" s="67"/>
    </row>
    <row r="69" ht="12.75" customHeight="1">
      <c r="A69" s="84"/>
      <c r="L69" s="67"/>
    </row>
    <row r="70" ht="12.75" customHeight="1">
      <c r="A70" s="84"/>
      <c r="L70" s="67"/>
    </row>
    <row r="71" ht="12.75" customHeight="1">
      <c r="A71" s="84"/>
      <c r="L71" s="67"/>
    </row>
    <row r="72" ht="12.75" customHeight="1">
      <c r="A72" s="84"/>
      <c r="L72" s="67"/>
    </row>
    <row r="73" ht="12.75" customHeight="1">
      <c r="A73" s="84"/>
      <c r="L73" s="67"/>
    </row>
    <row r="74" ht="12.75" customHeight="1">
      <c r="A74" s="84"/>
      <c r="L74" s="67"/>
    </row>
    <row r="75" ht="12.75" customHeight="1">
      <c r="A75" s="84"/>
      <c r="L75" s="67"/>
    </row>
    <row r="76" ht="12.75" customHeight="1">
      <c r="A76" s="84"/>
      <c r="L76" s="67"/>
    </row>
    <row r="77" ht="12.75" customHeight="1">
      <c r="A77" s="84"/>
      <c r="L77" s="67"/>
    </row>
    <row r="78" ht="12.75" customHeight="1">
      <c r="A78" s="84"/>
      <c r="L78" s="67"/>
    </row>
    <row r="79" ht="12.75" customHeight="1">
      <c r="A79" s="84"/>
      <c r="L79" s="67"/>
    </row>
    <row r="80" ht="12.75" customHeight="1">
      <c r="A80" s="84"/>
      <c r="L80" s="67"/>
    </row>
    <row r="81" ht="12.75" customHeight="1">
      <c r="A81" s="84"/>
      <c r="L81" s="67"/>
    </row>
    <row r="82" ht="12.75" customHeight="1">
      <c r="A82" s="84"/>
      <c r="L82" s="67"/>
    </row>
    <row r="83" ht="12.75" customHeight="1">
      <c r="A83" s="84"/>
      <c r="L83" s="67"/>
    </row>
    <row r="84" ht="12.75" customHeight="1">
      <c r="A84" s="84"/>
      <c r="L84" s="67"/>
    </row>
    <row r="85" ht="12.75" customHeight="1">
      <c r="A85" s="84"/>
      <c r="L85" s="67"/>
    </row>
    <row r="86" ht="12.75" customHeight="1">
      <c r="A86" s="84"/>
      <c r="L86" s="67"/>
    </row>
    <row r="87" ht="12.75" customHeight="1">
      <c r="A87" s="84"/>
      <c r="L87" s="67"/>
    </row>
    <row r="88" ht="12.75" customHeight="1">
      <c r="A88" s="84"/>
      <c r="L88" s="67"/>
    </row>
    <row r="89" ht="12.75" customHeight="1">
      <c r="A89" s="84"/>
      <c r="L89" s="67"/>
    </row>
    <row r="90" ht="12.75" customHeight="1">
      <c r="A90" s="84"/>
      <c r="L90" s="67"/>
    </row>
    <row r="91" ht="12.75" customHeight="1">
      <c r="A91" s="84"/>
      <c r="L91" s="67"/>
    </row>
    <row r="92" ht="12.75" customHeight="1">
      <c r="A92" s="84"/>
      <c r="L92" s="67"/>
    </row>
    <row r="93" ht="12.75" customHeight="1">
      <c r="A93" s="84"/>
      <c r="L93" s="67"/>
    </row>
    <row r="94" ht="12.75" customHeight="1">
      <c r="A94" s="84"/>
      <c r="L94" s="67"/>
    </row>
    <row r="95" ht="12.75" customHeight="1">
      <c r="A95" s="84"/>
      <c r="L95" s="67"/>
    </row>
    <row r="96" ht="12.75" customHeight="1">
      <c r="A96" s="84"/>
      <c r="L96" s="67"/>
    </row>
    <row r="97" ht="12.75" customHeight="1">
      <c r="A97" s="84"/>
      <c r="L97" s="67"/>
    </row>
    <row r="98" ht="12.75" customHeight="1">
      <c r="A98" s="84"/>
      <c r="L98" s="67"/>
    </row>
    <row r="99" ht="12.75" customHeight="1">
      <c r="A99" s="84"/>
      <c r="L99" s="67"/>
    </row>
    <row r="100" ht="12.75" customHeight="1">
      <c r="A100" s="84"/>
      <c r="L100" s="67"/>
    </row>
    <row r="101" ht="12.75" customHeight="1">
      <c r="A101" s="84"/>
      <c r="L101" s="67"/>
    </row>
    <row r="102" ht="12.75" customHeight="1">
      <c r="A102" s="84"/>
      <c r="L102" s="67"/>
    </row>
    <row r="103" ht="12.75" customHeight="1">
      <c r="A103" s="84"/>
      <c r="L103" s="67"/>
    </row>
    <row r="104" ht="12.75" customHeight="1">
      <c r="A104" s="84"/>
      <c r="L104" s="67"/>
    </row>
    <row r="105" ht="12.75" customHeight="1">
      <c r="A105" s="84"/>
      <c r="L105" s="67"/>
    </row>
    <row r="106" ht="12.75" customHeight="1">
      <c r="A106" s="84"/>
      <c r="L106" s="67"/>
    </row>
    <row r="107" ht="12.75" customHeight="1">
      <c r="A107" s="84"/>
      <c r="L107" s="67"/>
    </row>
    <row r="108" ht="12.75" customHeight="1">
      <c r="A108" s="84"/>
      <c r="L108" s="67"/>
    </row>
    <row r="109" ht="12.75" customHeight="1">
      <c r="A109" s="84"/>
      <c r="L109" s="67"/>
    </row>
    <row r="110" ht="12.75" customHeight="1">
      <c r="A110" s="84"/>
      <c r="L110" s="67"/>
    </row>
    <row r="111" ht="12.75" customHeight="1">
      <c r="A111" s="84"/>
      <c r="L111" s="67"/>
    </row>
    <row r="112" ht="12.75" customHeight="1">
      <c r="A112" s="84"/>
      <c r="L112" s="67"/>
    </row>
    <row r="113" ht="12.75" customHeight="1">
      <c r="A113" s="84"/>
      <c r="L113" s="67"/>
    </row>
    <row r="114" ht="12.75" customHeight="1">
      <c r="A114" s="84"/>
      <c r="L114" s="67"/>
    </row>
    <row r="115" ht="12.75" customHeight="1">
      <c r="A115" s="84"/>
      <c r="L115" s="67"/>
    </row>
    <row r="116" ht="12.75" customHeight="1">
      <c r="A116" s="84"/>
      <c r="L116" s="67"/>
    </row>
    <row r="117" ht="12.75" customHeight="1">
      <c r="A117" s="84"/>
      <c r="L117" s="67"/>
    </row>
    <row r="118" ht="12.75" customHeight="1">
      <c r="A118" s="84"/>
      <c r="L118" s="67"/>
    </row>
    <row r="119" ht="12.75" customHeight="1">
      <c r="A119" s="84"/>
      <c r="L119" s="67"/>
    </row>
    <row r="120" ht="12.75" customHeight="1">
      <c r="A120" s="84"/>
      <c r="L120" s="67"/>
    </row>
    <row r="121" ht="12.75" customHeight="1">
      <c r="A121" s="84"/>
      <c r="L121" s="67"/>
    </row>
    <row r="122" ht="12.75" customHeight="1">
      <c r="A122" s="84"/>
      <c r="L122" s="67"/>
    </row>
    <row r="123" ht="12.75" customHeight="1">
      <c r="A123" s="84"/>
      <c r="L123" s="67"/>
    </row>
    <row r="124" ht="12.75" customHeight="1">
      <c r="A124" s="84"/>
      <c r="L124" s="67"/>
    </row>
    <row r="125" ht="12.75" customHeight="1">
      <c r="A125" s="84"/>
      <c r="L125" s="67"/>
    </row>
    <row r="126" ht="12.75" customHeight="1">
      <c r="A126" s="84"/>
      <c r="L126" s="67"/>
    </row>
    <row r="127" ht="12.75" customHeight="1">
      <c r="A127" s="84"/>
      <c r="L127" s="67"/>
    </row>
    <row r="128" ht="12.75" customHeight="1">
      <c r="A128" s="84"/>
      <c r="L128" s="67"/>
    </row>
    <row r="129" ht="12.75" customHeight="1">
      <c r="A129" s="84"/>
      <c r="L129" s="67"/>
    </row>
    <row r="130" ht="12.75" customHeight="1">
      <c r="A130" s="84"/>
      <c r="L130" s="67"/>
    </row>
    <row r="131" ht="12.75" customHeight="1">
      <c r="A131" s="84"/>
      <c r="L131" s="67"/>
    </row>
    <row r="132" ht="12.75" customHeight="1">
      <c r="A132" s="84"/>
      <c r="L132" s="67"/>
    </row>
    <row r="133" ht="12.75" customHeight="1">
      <c r="A133" s="84"/>
      <c r="L133" s="67"/>
    </row>
    <row r="134" ht="12.75" customHeight="1">
      <c r="A134" s="84"/>
      <c r="L134" s="67"/>
    </row>
    <row r="135" ht="12.75" customHeight="1">
      <c r="A135" s="84"/>
      <c r="L135" s="67"/>
    </row>
    <row r="136" ht="12.75" customHeight="1">
      <c r="A136" s="84"/>
      <c r="L136" s="67"/>
    </row>
    <row r="137" ht="12.75" customHeight="1">
      <c r="A137" s="84"/>
      <c r="L137" s="67"/>
    </row>
    <row r="138" ht="12.75" customHeight="1">
      <c r="A138" s="84"/>
      <c r="L138" s="67"/>
    </row>
    <row r="139" ht="12.75" customHeight="1">
      <c r="A139" s="84"/>
      <c r="L139" s="67"/>
    </row>
    <row r="140" ht="12.75" customHeight="1">
      <c r="A140" s="84"/>
      <c r="L140" s="67"/>
    </row>
    <row r="141" ht="12.75" customHeight="1">
      <c r="A141" s="84"/>
      <c r="L141" s="67"/>
    </row>
    <row r="142" ht="12.75" customHeight="1">
      <c r="A142" s="84"/>
      <c r="L142" s="67"/>
    </row>
    <row r="143" ht="12.75" customHeight="1">
      <c r="A143" s="84"/>
      <c r="L143" s="67"/>
    </row>
    <row r="144" ht="12.75" customHeight="1">
      <c r="A144" s="84"/>
      <c r="L144" s="67"/>
    </row>
    <row r="145" ht="12.75" customHeight="1">
      <c r="A145" s="84"/>
      <c r="L145" s="67"/>
    </row>
    <row r="146" ht="12.75" customHeight="1">
      <c r="A146" s="84"/>
      <c r="L146" s="67"/>
    </row>
    <row r="147" ht="12.75" customHeight="1">
      <c r="A147" s="84"/>
      <c r="L147" s="67"/>
    </row>
    <row r="148" ht="12.75" customHeight="1">
      <c r="A148" s="84"/>
      <c r="L148" s="67"/>
    </row>
    <row r="149" ht="12.75" customHeight="1">
      <c r="A149" s="84"/>
      <c r="L149" s="67"/>
    </row>
    <row r="150" ht="12.75" customHeight="1">
      <c r="A150" s="84"/>
      <c r="L150" s="67"/>
    </row>
    <row r="151" ht="12.75" customHeight="1">
      <c r="A151" s="84"/>
      <c r="L151" s="67"/>
    </row>
    <row r="152" ht="12.75" customHeight="1">
      <c r="A152" s="84"/>
      <c r="L152" s="67"/>
    </row>
    <row r="153" ht="12.75" customHeight="1">
      <c r="A153" s="84"/>
      <c r="L153" s="67"/>
    </row>
    <row r="154" ht="12.75" customHeight="1">
      <c r="A154" s="84"/>
      <c r="L154" s="67"/>
    </row>
    <row r="155" ht="12.75" customHeight="1">
      <c r="A155" s="84"/>
      <c r="L155" s="67"/>
    </row>
    <row r="156" ht="12.75" customHeight="1">
      <c r="A156" s="84"/>
      <c r="L156" s="67"/>
    </row>
    <row r="157" ht="12.75" customHeight="1">
      <c r="A157" s="84"/>
      <c r="L157" s="67"/>
    </row>
    <row r="158" ht="12.75" customHeight="1">
      <c r="A158" s="84"/>
      <c r="L158" s="67"/>
    </row>
    <row r="159" ht="12.75" customHeight="1">
      <c r="A159" s="84"/>
      <c r="L159" s="67"/>
    </row>
    <row r="160" ht="12.75" customHeight="1">
      <c r="A160" s="84"/>
      <c r="L160" s="67"/>
    </row>
    <row r="161" ht="12.75" customHeight="1">
      <c r="A161" s="84"/>
      <c r="L161" s="67"/>
    </row>
    <row r="162" ht="12.75" customHeight="1">
      <c r="A162" s="84"/>
      <c r="L162" s="67"/>
    </row>
    <row r="163" ht="12.75" customHeight="1">
      <c r="A163" s="84"/>
      <c r="L163" s="67"/>
    </row>
    <row r="164" ht="12.75" customHeight="1">
      <c r="A164" s="84"/>
      <c r="L164" s="67"/>
    </row>
    <row r="165" ht="12.75" customHeight="1">
      <c r="A165" s="84"/>
      <c r="L165" s="67"/>
    </row>
    <row r="166" ht="12.75" customHeight="1">
      <c r="A166" s="84"/>
      <c r="L166" s="67"/>
    </row>
    <row r="167" ht="12.75" customHeight="1">
      <c r="A167" s="84"/>
      <c r="L167" s="67"/>
    </row>
    <row r="168" ht="12.75" customHeight="1">
      <c r="A168" s="84"/>
      <c r="L168" s="67"/>
    </row>
    <row r="169" ht="12.75" customHeight="1">
      <c r="A169" s="84"/>
      <c r="L169" s="67"/>
    </row>
    <row r="170" ht="12.75" customHeight="1">
      <c r="A170" s="84"/>
      <c r="L170" s="67"/>
    </row>
    <row r="171" ht="12.75" customHeight="1">
      <c r="A171" s="84"/>
      <c r="L171" s="67"/>
    </row>
    <row r="172" ht="12.75" customHeight="1">
      <c r="A172" s="84"/>
      <c r="L172" s="67"/>
    </row>
    <row r="173" ht="12.75" customHeight="1">
      <c r="A173" s="84"/>
      <c r="L173" s="67"/>
    </row>
    <row r="174" ht="12.75" customHeight="1">
      <c r="A174" s="84"/>
      <c r="L174" s="67"/>
    </row>
    <row r="175" ht="12.75" customHeight="1">
      <c r="A175" s="84"/>
      <c r="L175" s="67"/>
    </row>
    <row r="176" ht="12.75" customHeight="1">
      <c r="A176" s="84"/>
      <c r="L176" s="67"/>
    </row>
    <row r="177" ht="12.75" customHeight="1">
      <c r="A177" s="84"/>
      <c r="L177" s="67"/>
    </row>
    <row r="178" ht="12.75" customHeight="1">
      <c r="A178" s="84"/>
      <c r="L178" s="67"/>
    </row>
    <row r="179" ht="12.75" customHeight="1">
      <c r="A179" s="84"/>
      <c r="L179" s="67"/>
    </row>
    <row r="180" ht="12.75" customHeight="1">
      <c r="A180" s="84"/>
      <c r="L180" s="67"/>
    </row>
    <row r="181" ht="12.75" customHeight="1">
      <c r="A181" s="84"/>
      <c r="L181" s="67"/>
    </row>
    <row r="182" ht="12.75" customHeight="1">
      <c r="A182" s="84"/>
      <c r="L182" s="67"/>
    </row>
    <row r="183" ht="12.75" customHeight="1">
      <c r="A183" s="84"/>
      <c r="L183" s="67"/>
    </row>
    <row r="184" ht="12.75" customHeight="1">
      <c r="A184" s="84"/>
      <c r="L184" s="67"/>
    </row>
    <row r="185" ht="12.75" customHeight="1">
      <c r="A185" s="84"/>
      <c r="L185" s="67"/>
    </row>
    <row r="186" ht="12.75" customHeight="1">
      <c r="A186" s="84"/>
      <c r="L186" s="67"/>
    </row>
    <row r="187" ht="12.75" customHeight="1">
      <c r="A187" s="84"/>
      <c r="L187" s="67"/>
    </row>
    <row r="188" ht="12.75" customHeight="1">
      <c r="A188" s="84"/>
      <c r="L188" s="67"/>
    </row>
    <row r="189" ht="12.75" customHeight="1">
      <c r="A189" s="84"/>
      <c r="L189" s="67"/>
    </row>
    <row r="190" ht="12.75" customHeight="1">
      <c r="A190" s="84"/>
      <c r="L190" s="67"/>
    </row>
    <row r="191" ht="12.75" customHeight="1">
      <c r="A191" s="84"/>
      <c r="L191" s="67"/>
    </row>
    <row r="192" ht="12.75" customHeight="1">
      <c r="A192" s="84"/>
      <c r="L192" s="67"/>
    </row>
    <row r="193" ht="12.75" customHeight="1">
      <c r="A193" s="84"/>
      <c r="L193" s="67"/>
    </row>
    <row r="194" ht="12.75" customHeight="1">
      <c r="A194" s="84"/>
      <c r="L194" s="67"/>
    </row>
    <row r="195" ht="12.75" customHeight="1">
      <c r="A195" s="84"/>
      <c r="L195" s="67"/>
    </row>
    <row r="196" ht="12.75" customHeight="1">
      <c r="A196" s="84"/>
      <c r="L196" s="67"/>
    </row>
    <row r="197" ht="12.75" customHeight="1">
      <c r="A197" s="84"/>
      <c r="L197" s="67"/>
    </row>
    <row r="198" ht="12.75" customHeight="1">
      <c r="A198" s="84"/>
      <c r="L198" s="67"/>
    </row>
    <row r="199" ht="12.75" customHeight="1">
      <c r="A199" s="84"/>
      <c r="L199" s="67"/>
    </row>
    <row r="200" ht="12.75" customHeight="1">
      <c r="A200" s="84"/>
      <c r="L200" s="67"/>
    </row>
    <row r="201" ht="12.75" customHeight="1">
      <c r="A201" s="84"/>
      <c r="L201" s="67"/>
    </row>
    <row r="202" ht="12.75" customHeight="1">
      <c r="A202" s="84"/>
      <c r="L202" s="67"/>
    </row>
    <row r="203" ht="12.75" customHeight="1">
      <c r="A203" s="84"/>
      <c r="L203" s="67"/>
    </row>
    <row r="204" ht="12.75" customHeight="1">
      <c r="A204" s="84"/>
      <c r="L204" s="67"/>
    </row>
    <row r="205" ht="12.75" customHeight="1">
      <c r="A205" s="84"/>
      <c r="L205" s="67"/>
    </row>
    <row r="206" ht="12.75" customHeight="1">
      <c r="A206" s="84"/>
      <c r="L206" s="67"/>
    </row>
    <row r="207" ht="12.75" customHeight="1">
      <c r="A207" s="84"/>
      <c r="L207" s="67"/>
    </row>
    <row r="208" ht="12.75" customHeight="1">
      <c r="A208" s="84"/>
      <c r="L208" s="67"/>
    </row>
    <row r="209" ht="12.75" customHeight="1">
      <c r="A209" s="84"/>
      <c r="L209" s="67"/>
    </row>
    <row r="210" ht="12.75" customHeight="1">
      <c r="A210" s="84"/>
      <c r="L210" s="67"/>
    </row>
    <row r="211" ht="12.75" customHeight="1">
      <c r="A211" s="84"/>
      <c r="L211" s="67"/>
    </row>
    <row r="212" ht="12.75" customHeight="1">
      <c r="A212" s="84"/>
      <c r="L212" s="67"/>
    </row>
    <row r="213" ht="12.75" customHeight="1">
      <c r="A213" s="84"/>
      <c r="L213" s="67"/>
    </row>
    <row r="214" ht="12.75" customHeight="1">
      <c r="A214" s="84"/>
      <c r="L214" s="67"/>
    </row>
    <row r="215" ht="12.75" customHeight="1">
      <c r="A215" s="84"/>
      <c r="L215" s="67"/>
    </row>
    <row r="216" ht="12.75" customHeight="1">
      <c r="A216" s="84"/>
      <c r="L216" s="67"/>
    </row>
    <row r="217" ht="12.75" customHeight="1">
      <c r="A217" s="84"/>
      <c r="L217" s="67"/>
    </row>
    <row r="218" ht="12.75" customHeight="1">
      <c r="A218" s="84"/>
      <c r="L218" s="67"/>
    </row>
    <row r="219" ht="12.75" customHeight="1">
      <c r="A219" s="84"/>
      <c r="L219" s="67"/>
    </row>
    <row r="220" ht="12.75" customHeight="1">
      <c r="A220" s="84"/>
      <c r="L220" s="67"/>
    </row>
    <row r="221" ht="12.75" customHeight="1">
      <c r="A221" s="84"/>
      <c r="L221" s="67"/>
    </row>
    <row r="222" ht="12.75" customHeight="1">
      <c r="A222" s="84"/>
      <c r="L222" s="67"/>
    </row>
    <row r="223" ht="12.75" customHeight="1">
      <c r="A223" s="84"/>
      <c r="L223" s="67"/>
    </row>
    <row r="224" ht="12.75" customHeight="1">
      <c r="A224" s="84"/>
      <c r="L224" s="67"/>
    </row>
    <row r="225" ht="12.75" customHeight="1">
      <c r="A225" s="84"/>
      <c r="L225" s="67"/>
    </row>
    <row r="226" ht="12.75" customHeight="1">
      <c r="A226" s="84"/>
      <c r="L226" s="67"/>
    </row>
    <row r="227" ht="12.75" customHeight="1">
      <c r="A227" s="84"/>
      <c r="L227" s="67"/>
    </row>
    <row r="228" ht="12.75" customHeight="1">
      <c r="A228" s="84"/>
      <c r="L228" s="67"/>
    </row>
    <row r="229" ht="12.75" customHeight="1">
      <c r="A229" s="84"/>
      <c r="L229" s="67"/>
    </row>
    <row r="230" ht="12.75" customHeight="1">
      <c r="A230" s="84"/>
      <c r="L230" s="67"/>
    </row>
    <row r="231" ht="12.75" customHeight="1">
      <c r="A231" s="84"/>
      <c r="L231" s="67"/>
    </row>
    <row r="232" ht="12.75" customHeight="1">
      <c r="A232" s="84"/>
      <c r="L232" s="67"/>
    </row>
    <row r="233" ht="12.75" customHeight="1">
      <c r="A233" s="84"/>
      <c r="L233" s="67"/>
    </row>
    <row r="234" ht="12.75" customHeight="1">
      <c r="A234" s="84"/>
      <c r="L234" s="67"/>
    </row>
    <row r="235" ht="12.75" customHeight="1">
      <c r="A235" s="84"/>
      <c r="L235" s="67"/>
    </row>
    <row r="236" ht="12.75" customHeight="1">
      <c r="A236" s="84"/>
      <c r="L236" s="67"/>
    </row>
    <row r="237" ht="12.75" customHeight="1">
      <c r="A237" s="84"/>
      <c r="L237" s="67"/>
    </row>
    <row r="238" ht="12.75" customHeight="1">
      <c r="A238" s="84"/>
      <c r="L238" s="67"/>
    </row>
    <row r="239" ht="12.75" customHeight="1">
      <c r="A239" s="84"/>
      <c r="L239" s="67"/>
    </row>
    <row r="240" ht="12.75" customHeight="1">
      <c r="A240" s="84"/>
      <c r="L240" s="67"/>
    </row>
    <row r="241" ht="12.75" customHeight="1">
      <c r="A241" s="84"/>
      <c r="L241" s="67"/>
    </row>
    <row r="242" ht="12.75" customHeight="1">
      <c r="A242" s="84"/>
      <c r="L242" s="67"/>
    </row>
    <row r="243" ht="12.75" customHeight="1">
      <c r="A243" s="84"/>
      <c r="L243" s="67"/>
    </row>
    <row r="244" ht="12.75" customHeight="1">
      <c r="A244" s="84"/>
      <c r="L244" s="67"/>
    </row>
    <row r="245" ht="12.75" customHeight="1">
      <c r="A245" s="84"/>
      <c r="L245" s="67"/>
    </row>
    <row r="246" ht="12.75" customHeight="1">
      <c r="A246" s="84"/>
      <c r="L246" s="67"/>
    </row>
    <row r="247" ht="12.75" customHeight="1">
      <c r="A247" s="84"/>
      <c r="L247" s="67"/>
    </row>
    <row r="248" ht="12.75" customHeight="1">
      <c r="A248" s="84"/>
      <c r="L248" s="67"/>
    </row>
    <row r="249" ht="12.75" customHeight="1">
      <c r="A249" s="84"/>
      <c r="L249" s="67"/>
    </row>
    <row r="250" ht="12.75" customHeight="1">
      <c r="A250" s="84"/>
      <c r="L250" s="67"/>
    </row>
    <row r="251" ht="12.75" customHeight="1">
      <c r="A251" s="84"/>
      <c r="L251" s="67"/>
    </row>
    <row r="252" ht="12.75" customHeight="1">
      <c r="A252" s="84"/>
      <c r="L252" s="67"/>
    </row>
    <row r="253" ht="12.75" customHeight="1">
      <c r="A253" s="84"/>
      <c r="L253" s="67"/>
    </row>
    <row r="254" ht="12.75" customHeight="1">
      <c r="A254" s="84"/>
      <c r="L254" s="67"/>
    </row>
    <row r="255" ht="12.75" customHeight="1">
      <c r="A255" s="84"/>
      <c r="L255" s="67"/>
    </row>
    <row r="256" ht="12.75" customHeight="1">
      <c r="A256" s="84"/>
      <c r="L256" s="67"/>
    </row>
    <row r="257" ht="12.75" customHeight="1">
      <c r="A257" s="84"/>
      <c r="L257" s="67"/>
    </row>
    <row r="258" ht="12.75" customHeight="1">
      <c r="A258" s="84"/>
      <c r="L258" s="67"/>
    </row>
    <row r="259" ht="12.75" customHeight="1">
      <c r="A259" s="84"/>
      <c r="L259" s="67"/>
    </row>
    <row r="260" ht="12.75" customHeight="1">
      <c r="A260" s="84"/>
      <c r="L260" s="67"/>
    </row>
    <row r="261" ht="12.75" customHeight="1">
      <c r="A261" s="84"/>
      <c r="L261" s="67"/>
    </row>
    <row r="262" ht="12.75" customHeight="1">
      <c r="A262" s="84"/>
      <c r="L262" s="67"/>
    </row>
    <row r="263" ht="12.75" customHeight="1">
      <c r="A263" s="84"/>
      <c r="L263" s="67"/>
    </row>
    <row r="264" ht="12.75" customHeight="1">
      <c r="A264" s="84"/>
      <c r="L264" s="67"/>
    </row>
    <row r="265" ht="12.75" customHeight="1">
      <c r="A265" s="84"/>
      <c r="L265" s="67"/>
    </row>
    <row r="266" ht="12.75" customHeight="1">
      <c r="A266" s="84"/>
      <c r="L266" s="67"/>
    </row>
    <row r="267" ht="12.75" customHeight="1">
      <c r="A267" s="84"/>
      <c r="L267" s="67"/>
    </row>
    <row r="268" ht="12.75" customHeight="1">
      <c r="A268" s="84"/>
      <c r="L268" s="67"/>
    </row>
    <row r="269" ht="12.75" customHeight="1">
      <c r="A269" s="84"/>
      <c r="L269" s="67"/>
    </row>
    <row r="270" ht="12.75" customHeight="1">
      <c r="A270" s="84"/>
      <c r="L270" s="67"/>
    </row>
    <row r="271" ht="12.75" customHeight="1">
      <c r="A271" s="84"/>
      <c r="L271" s="67"/>
    </row>
    <row r="272" ht="12.75" customHeight="1">
      <c r="A272" s="84"/>
      <c r="L272" s="67"/>
    </row>
    <row r="273" ht="12.75" customHeight="1">
      <c r="A273" s="84"/>
      <c r="L273" s="67"/>
    </row>
    <row r="274" ht="12.75" customHeight="1">
      <c r="A274" s="84"/>
      <c r="L274" s="67"/>
    </row>
    <row r="275" ht="12.75" customHeight="1">
      <c r="A275" s="84"/>
      <c r="L275" s="67"/>
    </row>
    <row r="276" ht="12.75" customHeight="1">
      <c r="A276" s="84"/>
      <c r="L276" s="67"/>
    </row>
    <row r="277" ht="12.75" customHeight="1">
      <c r="A277" s="84"/>
      <c r="L277" s="67"/>
    </row>
    <row r="278" ht="12.75" customHeight="1">
      <c r="A278" s="84"/>
      <c r="L278" s="67"/>
    </row>
    <row r="279" ht="12.75" customHeight="1">
      <c r="A279" s="84"/>
      <c r="L279" s="67"/>
    </row>
    <row r="280" ht="12.75" customHeight="1">
      <c r="A280" s="84"/>
      <c r="L280" s="67"/>
    </row>
    <row r="281" ht="12.75" customHeight="1">
      <c r="A281" s="84"/>
      <c r="L281" s="67"/>
    </row>
    <row r="282" ht="12.75" customHeight="1">
      <c r="A282" s="84"/>
      <c r="L282" s="67"/>
    </row>
    <row r="283" ht="12.75" customHeight="1">
      <c r="A283" s="84"/>
      <c r="L283" s="67"/>
    </row>
    <row r="284" ht="12.75" customHeight="1">
      <c r="A284" s="84"/>
      <c r="L284" s="67"/>
    </row>
    <row r="285" ht="12.75" customHeight="1">
      <c r="A285" s="84"/>
      <c r="L285" s="67"/>
    </row>
    <row r="286" ht="12.75" customHeight="1">
      <c r="A286" s="84"/>
      <c r="L286" s="67"/>
    </row>
    <row r="287" ht="12.75" customHeight="1">
      <c r="A287" s="84"/>
      <c r="L287" s="67"/>
    </row>
    <row r="288" ht="12.75" customHeight="1">
      <c r="A288" s="84"/>
      <c r="L288" s="67"/>
    </row>
    <row r="289" ht="12.75" customHeight="1">
      <c r="A289" s="84"/>
      <c r="L289" s="67"/>
    </row>
    <row r="290" ht="12.75" customHeight="1">
      <c r="A290" s="84"/>
      <c r="L290" s="67"/>
    </row>
    <row r="291" ht="12.75" customHeight="1">
      <c r="A291" s="84"/>
      <c r="L291" s="67"/>
    </row>
    <row r="292" ht="12.75" customHeight="1">
      <c r="A292" s="84"/>
      <c r="L292" s="67"/>
    </row>
    <row r="293" ht="12.75" customHeight="1">
      <c r="A293" s="84"/>
      <c r="L293" s="67"/>
    </row>
    <row r="294" ht="12.75" customHeight="1">
      <c r="A294" s="84"/>
      <c r="L294" s="67"/>
    </row>
    <row r="295" ht="12.75" customHeight="1">
      <c r="A295" s="84"/>
      <c r="L295" s="67"/>
    </row>
    <row r="296" ht="12.75" customHeight="1">
      <c r="A296" s="84"/>
      <c r="L296" s="67"/>
    </row>
    <row r="297" ht="12.75" customHeight="1">
      <c r="A297" s="84"/>
      <c r="L297" s="67"/>
    </row>
    <row r="298" ht="12.75" customHeight="1">
      <c r="A298" s="84"/>
      <c r="L298" s="67"/>
    </row>
    <row r="299" ht="12.75" customHeight="1">
      <c r="A299" s="84"/>
      <c r="L299" s="67"/>
    </row>
    <row r="300" ht="12.75" customHeight="1">
      <c r="A300" s="84"/>
      <c r="L300" s="67"/>
    </row>
    <row r="301" ht="12.75" customHeight="1">
      <c r="A301" s="84"/>
      <c r="L301" s="67"/>
    </row>
    <row r="302" ht="12.75" customHeight="1">
      <c r="A302" s="84"/>
      <c r="L302" s="67"/>
    </row>
    <row r="303" ht="12.75" customHeight="1">
      <c r="A303" s="84"/>
      <c r="L303" s="67"/>
    </row>
    <row r="304" ht="12.75" customHeight="1">
      <c r="A304" s="84"/>
      <c r="L304" s="67"/>
    </row>
    <row r="305" ht="12.75" customHeight="1">
      <c r="A305" s="84"/>
      <c r="L305" s="67"/>
    </row>
    <row r="306" ht="12.75" customHeight="1">
      <c r="A306" s="84"/>
      <c r="L306" s="67"/>
    </row>
    <row r="307" ht="12.75" customHeight="1">
      <c r="A307" s="84"/>
      <c r="L307" s="67"/>
    </row>
    <row r="308" ht="12.75" customHeight="1">
      <c r="A308" s="84"/>
      <c r="L308" s="67"/>
    </row>
    <row r="309" ht="12.75" customHeight="1">
      <c r="A309" s="84"/>
      <c r="L309" s="67"/>
    </row>
    <row r="310" ht="12.75" customHeight="1">
      <c r="A310" s="84"/>
      <c r="L310" s="67"/>
    </row>
    <row r="311" ht="12.75" customHeight="1">
      <c r="A311" s="84"/>
      <c r="L311" s="67"/>
    </row>
    <row r="312" ht="12.75" customHeight="1">
      <c r="A312" s="84"/>
      <c r="L312" s="67"/>
    </row>
    <row r="313" ht="12.75" customHeight="1">
      <c r="A313" s="84"/>
      <c r="L313" s="67"/>
    </row>
    <row r="314" ht="12.75" customHeight="1">
      <c r="A314" s="84"/>
      <c r="L314" s="67"/>
    </row>
    <row r="315" ht="12.75" customHeight="1">
      <c r="A315" s="84"/>
      <c r="L315" s="67"/>
    </row>
    <row r="316" ht="12.75" customHeight="1">
      <c r="A316" s="84"/>
      <c r="L316" s="67"/>
    </row>
    <row r="317" ht="12.75" customHeight="1">
      <c r="A317" s="84"/>
      <c r="L317" s="67"/>
    </row>
    <row r="318" ht="12.75" customHeight="1">
      <c r="A318" s="84"/>
      <c r="L318" s="67"/>
    </row>
    <row r="319" ht="12.75" customHeight="1">
      <c r="A319" s="84"/>
      <c r="L319" s="67"/>
    </row>
    <row r="320" ht="12.75" customHeight="1">
      <c r="A320" s="84"/>
      <c r="L320" s="67"/>
    </row>
    <row r="321" ht="12.75" customHeight="1">
      <c r="A321" s="84"/>
      <c r="L321" s="67"/>
    </row>
    <row r="322" ht="12.75" customHeight="1">
      <c r="A322" s="84"/>
      <c r="L322" s="67"/>
    </row>
    <row r="323" ht="12.75" customHeight="1">
      <c r="A323" s="84"/>
      <c r="L323" s="67"/>
    </row>
    <row r="324" ht="12.75" customHeight="1">
      <c r="A324" s="84"/>
      <c r="L324" s="67"/>
    </row>
    <row r="325" ht="12.75" customHeight="1">
      <c r="A325" s="84"/>
      <c r="L325" s="67"/>
    </row>
    <row r="326" ht="12.75" customHeight="1">
      <c r="A326" s="84"/>
      <c r="L326" s="67"/>
    </row>
    <row r="327" ht="12.75" customHeight="1">
      <c r="A327" s="84"/>
      <c r="L327" s="67"/>
    </row>
    <row r="328" ht="12.75" customHeight="1">
      <c r="A328" s="84"/>
      <c r="L328" s="67"/>
    </row>
    <row r="329" ht="12.75" customHeight="1">
      <c r="A329" s="84"/>
      <c r="L329" s="67"/>
    </row>
    <row r="330" ht="12.75" customHeight="1">
      <c r="A330" s="84"/>
      <c r="L330" s="67"/>
    </row>
    <row r="331" ht="12.75" customHeight="1">
      <c r="A331" s="84"/>
      <c r="L331" s="67"/>
    </row>
    <row r="332" ht="12.75" customHeight="1">
      <c r="A332" s="84"/>
      <c r="L332" s="67"/>
    </row>
    <row r="333" ht="12.75" customHeight="1">
      <c r="A333" s="84"/>
      <c r="L333" s="67"/>
    </row>
    <row r="334" ht="12.75" customHeight="1">
      <c r="A334" s="84"/>
      <c r="L334" s="67"/>
    </row>
    <row r="335" ht="12.75" customHeight="1">
      <c r="A335" s="84"/>
      <c r="L335" s="67"/>
    </row>
    <row r="336" ht="12.75" customHeight="1">
      <c r="A336" s="84"/>
      <c r="L336" s="67"/>
    </row>
    <row r="337" ht="12.75" customHeight="1">
      <c r="A337" s="84"/>
      <c r="L337" s="67"/>
    </row>
    <row r="338" ht="12.75" customHeight="1">
      <c r="A338" s="84"/>
      <c r="L338" s="67"/>
    </row>
    <row r="339" ht="12.75" customHeight="1">
      <c r="A339" s="84"/>
      <c r="L339" s="67"/>
    </row>
    <row r="340" ht="12.75" customHeight="1">
      <c r="A340" s="84"/>
      <c r="L340" s="67"/>
    </row>
    <row r="341" ht="12.75" customHeight="1">
      <c r="A341" s="84"/>
      <c r="L341" s="67"/>
    </row>
    <row r="342" ht="12.75" customHeight="1">
      <c r="A342" s="84"/>
      <c r="L342" s="67"/>
    </row>
    <row r="343" ht="12.75" customHeight="1">
      <c r="A343" s="84"/>
      <c r="L343" s="67"/>
    </row>
    <row r="344" ht="12.75" customHeight="1">
      <c r="A344" s="84"/>
      <c r="L344" s="67"/>
    </row>
    <row r="345" ht="12.75" customHeight="1">
      <c r="A345" s="84"/>
      <c r="L345" s="67"/>
    </row>
    <row r="346" ht="12.75" customHeight="1">
      <c r="A346" s="84"/>
      <c r="L346" s="67"/>
    </row>
    <row r="347" ht="12.75" customHeight="1">
      <c r="A347" s="84"/>
      <c r="L347" s="67"/>
    </row>
    <row r="348" ht="12.75" customHeight="1">
      <c r="A348" s="84"/>
      <c r="L348" s="67"/>
    </row>
    <row r="349" ht="12.75" customHeight="1">
      <c r="A349" s="84"/>
      <c r="L349" s="67"/>
    </row>
    <row r="350" ht="12.75" customHeight="1">
      <c r="A350" s="84"/>
      <c r="L350" s="67"/>
    </row>
    <row r="351" ht="12.75" customHeight="1">
      <c r="A351" s="84"/>
      <c r="L351" s="67"/>
    </row>
    <row r="352" ht="12.75" customHeight="1">
      <c r="A352" s="84"/>
      <c r="L352" s="67"/>
    </row>
    <row r="353" ht="12.75" customHeight="1">
      <c r="A353" s="84"/>
      <c r="L353" s="67"/>
    </row>
    <row r="354" ht="12.75" customHeight="1">
      <c r="A354" s="84"/>
      <c r="L354" s="67"/>
    </row>
    <row r="355" ht="12.75" customHeight="1">
      <c r="A355" s="84"/>
      <c r="L355" s="67"/>
    </row>
    <row r="356" ht="12.75" customHeight="1">
      <c r="A356" s="84"/>
      <c r="L356" s="67"/>
    </row>
    <row r="357" ht="12.75" customHeight="1">
      <c r="A357" s="84"/>
      <c r="L357" s="67"/>
    </row>
    <row r="358" ht="12.75" customHeight="1">
      <c r="A358" s="84"/>
      <c r="L358" s="67"/>
    </row>
    <row r="359" ht="12.75" customHeight="1">
      <c r="A359" s="84"/>
      <c r="L359" s="67"/>
    </row>
    <row r="360" ht="12.75" customHeight="1">
      <c r="A360" s="84"/>
      <c r="L360" s="67"/>
    </row>
    <row r="361" ht="12.75" customHeight="1">
      <c r="A361" s="84"/>
      <c r="L361" s="67"/>
    </row>
    <row r="362" ht="12.75" customHeight="1">
      <c r="A362" s="84"/>
      <c r="L362" s="67"/>
    </row>
    <row r="363" ht="12.75" customHeight="1">
      <c r="A363" s="84"/>
      <c r="L363" s="67"/>
    </row>
    <row r="364" ht="12.75" customHeight="1">
      <c r="A364" s="84"/>
      <c r="L364" s="67"/>
    </row>
    <row r="365" ht="12.75" customHeight="1">
      <c r="A365" s="84"/>
      <c r="L365" s="67"/>
    </row>
    <row r="366" ht="12.75" customHeight="1">
      <c r="A366" s="84"/>
      <c r="L366" s="67"/>
    </row>
    <row r="367" ht="12.75" customHeight="1">
      <c r="A367" s="84"/>
      <c r="L367" s="67"/>
    </row>
    <row r="368" ht="12.75" customHeight="1">
      <c r="A368" s="84"/>
      <c r="L368" s="67"/>
    </row>
    <row r="369" ht="12.75" customHeight="1">
      <c r="A369" s="84"/>
      <c r="L369" s="67"/>
    </row>
    <row r="370" ht="12.75" customHeight="1">
      <c r="A370" s="84"/>
      <c r="L370" s="67"/>
    </row>
    <row r="371" ht="12.75" customHeight="1">
      <c r="A371" s="84"/>
      <c r="L371" s="67"/>
    </row>
    <row r="372" ht="12.75" customHeight="1">
      <c r="A372" s="84"/>
      <c r="L372" s="67"/>
    </row>
    <row r="373" ht="12.75" customHeight="1">
      <c r="A373" s="84"/>
      <c r="L373" s="67"/>
    </row>
    <row r="374" ht="12.75" customHeight="1">
      <c r="A374" s="84"/>
      <c r="L374" s="67"/>
    </row>
    <row r="375" ht="12.75" customHeight="1">
      <c r="A375" s="84"/>
      <c r="L375" s="67"/>
    </row>
    <row r="376" ht="12.75" customHeight="1">
      <c r="A376" s="84"/>
      <c r="L376" s="67"/>
    </row>
    <row r="377" ht="12.75" customHeight="1">
      <c r="A377" s="84"/>
      <c r="L377" s="67"/>
    </row>
    <row r="378" ht="12.75" customHeight="1">
      <c r="A378" s="84"/>
      <c r="L378" s="67"/>
    </row>
    <row r="379" ht="12.75" customHeight="1">
      <c r="A379" s="84"/>
      <c r="L379" s="67"/>
    </row>
    <row r="380" ht="12.75" customHeight="1">
      <c r="A380" s="84"/>
      <c r="L380" s="67"/>
    </row>
    <row r="381" ht="12.75" customHeight="1">
      <c r="A381" s="84"/>
      <c r="L381" s="67"/>
    </row>
    <row r="382" ht="12.75" customHeight="1">
      <c r="A382" s="84"/>
      <c r="L382" s="67"/>
    </row>
    <row r="383" ht="12.75" customHeight="1">
      <c r="A383" s="84"/>
      <c r="L383" s="67"/>
    </row>
    <row r="384" ht="12.75" customHeight="1">
      <c r="A384" s="84"/>
      <c r="L384" s="67"/>
    </row>
    <row r="385" ht="12.75" customHeight="1">
      <c r="A385" s="84"/>
      <c r="L385" s="67"/>
    </row>
    <row r="386" ht="12.75" customHeight="1">
      <c r="A386" s="84"/>
      <c r="L386" s="67"/>
    </row>
    <row r="387" ht="12.75" customHeight="1">
      <c r="A387" s="84"/>
      <c r="L387" s="67"/>
    </row>
    <row r="388" ht="12.75" customHeight="1">
      <c r="A388" s="84"/>
      <c r="L388" s="67"/>
    </row>
    <row r="389" ht="12.75" customHeight="1">
      <c r="A389" s="84"/>
      <c r="L389" s="67"/>
    </row>
    <row r="390" ht="12.75" customHeight="1">
      <c r="A390" s="84"/>
      <c r="L390" s="67"/>
    </row>
    <row r="391" ht="12.75" customHeight="1">
      <c r="A391" s="84"/>
      <c r="L391" s="67"/>
    </row>
    <row r="392" ht="12.75" customHeight="1">
      <c r="A392" s="84"/>
      <c r="L392" s="67"/>
    </row>
    <row r="393" ht="12.75" customHeight="1">
      <c r="A393" s="84"/>
      <c r="L393" s="67"/>
    </row>
    <row r="394" ht="12.75" customHeight="1">
      <c r="A394" s="84"/>
      <c r="L394" s="67"/>
    </row>
    <row r="395" ht="12.75" customHeight="1">
      <c r="A395" s="84"/>
      <c r="L395" s="67"/>
    </row>
    <row r="396" ht="12.75" customHeight="1">
      <c r="A396" s="84"/>
      <c r="L396" s="67"/>
    </row>
    <row r="397" ht="12.75" customHeight="1">
      <c r="A397" s="84"/>
      <c r="L397" s="67"/>
    </row>
    <row r="398" ht="12.75" customHeight="1">
      <c r="A398" s="84"/>
      <c r="L398" s="67"/>
    </row>
    <row r="399" ht="12.75" customHeight="1">
      <c r="A399" s="84"/>
      <c r="L399" s="67"/>
    </row>
    <row r="400" ht="12.75" customHeight="1">
      <c r="A400" s="84"/>
      <c r="L400" s="67"/>
    </row>
    <row r="401" ht="12.75" customHeight="1">
      <c r="A401" s="84"/>
      <c r="L401" s="67"/>
    </row>
    <row r="402" ht="12.75" customHeight="1">
      <c r="A402" s="84"/>
      <c r="L402" s="67"/>
    </row>
    <row r="403" ht="12.75" customHeight="1">
      <c r="A403" s="84"/>
      <c r="L403" s="67"/>
    </row>
    <row r="404" ht="12.75" customHeight="1">
      <c r="A404" s="84"/>
      <c r="L404" s="67"/>
    </row>
    <row r="405" ht="12.75" customHeight="1">
      <c r="A405" s="84"/>
      <c r="L405" s="67"/>
    </row>
    <row r="406" ht="12.75" customHeight="1">
      <c r="A406" s="84"/>
      <c r="L406" s="67"/>
    </row>
    <row r="407" ht="12.75" customHeight="1">
      <c r="A407" s="84"/>
      <c r="L407" s="67"/>
    </row>
    <row r="408" ht="12.75" customHeight="1">
      <c r="A408" s="84"/>
      <c r="L408" s="67"/>
    </row>
    <row r="409" ht="12.75" customHeight="1">
      <c r="A409" s="84"/>
      <c r="L409" s="67"/>
    </row>
    <row r="410" ht="12.75" customHeight="1">
      <c r="A410" s="84"/>
      <c r="L410" s="67"/>
    </row>
    <row r="411" ht="12.75" customHeight="1">
      <c r="A411" s="84"/>
      <c r="L411" s="67"/>
    </row>
    <row r="412" ht="12.75" customHeight="1">
      <c r="A412" s="84"/>
      <c r="L412" s="67"/>
    </row>
    <row r="413" ht="12.75" customHeight="1">
      <c r="A413" s="84"/>
      <c r="L413" s="67"/>
    </row>
    <row r="414" ht="12.75" customHeight="1">
      <c r="A414" s="84"/>
      <c r="L414" s="67"/>
    </row>
    <row r="415" ht="12.75" customHeight="1">
      <c r="A415" s="84"/>
      <c r="L415" s="67"/>
    </row>
    <row r="416" ht="12.75" customHeight="1">
      <c r="A416" s="84"/>
      <c r="L416" s="67"/>
    </row>
    <row r="417" ht="12.75" customHeight="1">
      <c r="A417" s="84"/>
      <c r="L417" s="67"/>
    </row>
    <row r="418" ht="12.75" customHeight="1">
      <c r="A418" s="84"/>
      <c r="L418" s="67"/>
    </row>
    <row r="419" ht="12.75" customHeight="1">
      <c r="A419" s="84"/>
      <c r="L419" s="67"/>
    </row>
    <row r="420" ht="12.75" customHeight="1">
      <c r="A420" s="84"/>
      <c r="L420" s="67"/>
    </row>
    <row r="421" ht="12.75" customHeight="1">
      <c r="A421" s="84"/>
      <c r="L421" s="67"/>
    </row>
    <row r="422" ht="12.75" customHeight="1">
      <c r="A422" s="84"/>
      <c r="L422" s="67"/>
    </row>
    <row r="423" ht="12.75" customHeight="1">
      <c r="A423" s="84"/>
      <c r="L423" s="67"/>
    </row>
    <row r="424" ht="12.75" customHeight="1">
      <c r="A424" s="84"/>
      <c r="L424" s="67"/>
    </row>
    <row r="425" ht="12.75" customHeight="1">
      <c r="A425" s="84"/>
      <c r="L425" s="67"/>
    </row>
    <row r="426" ht="12.75" customHeight="1">
      <c r="A426" s="84"/>
      <c r="L426" s="67"/>
    </row>
    <row r="427" ht="12.75" customHeight="1">
      <c r="A427" s="84"/>
      <c r="L427" s="67"/>
    </row>
    <row r="428" ht="12.75" customHeight="1">
      <c r="A428" s="84"/>
      <c r="L428" s="67"/>
    </row>
    <row r="429" ht="12.75" customHeight="1">
      <c r="A429" s="84"/>
      <c r="L429" s="67"/>
    </row>
    <row r="430" ht="12.75" customHeight="1">
      <c r="A430" s="84"/>
      <c r="L430" s="67"/>
    </row>
    <row r="431" ht="12.75" customHeight="1">
      <c r="A431" s="84"/>
      <c r="L431" s="67"/>
    </row>
    <row r="432" ht="12.75" customHeight="1">
      <c r="A432" s="84"/>
      <c r="L432" s="67"/>
    </row>
    <row r="433" ht="12.75" customHeight="1">
      <c r="A433" s="84"/>
      <c r="L433" s="67"/>
    </row>
    <row r="434" ht="12.75" customHeight="1">
      <c r="A434" s="84"/>
      <c r="L434" s="67"/>
    </row>
    <row r="435" ht="12.75" customHeight="1">
      <c r="A435" s="84"/>
      <c r="L435" s="67"/>
    </row>
    <row r="436" ht="12.75" customHeight="1">
      <c r="A436" s="84"/>
      <c r="L436" s="67"/>
    </row>
    <row r="437" ht="12.75" customHeight="1">
      <c r="A437" s="84"/>
      <c r="L437" s="67"/>
    </row>
    <row r="438" ht="12.75" customHeight="1">
      <c r="A438" s="84"/>
      <c r="L438" s="67"/>
    </row>
    <row r="439" ht="12.75" customHeight="1">
      <c r="A439" s="84"/>
      <c r="L439" s="67"/>
    </row>
    <row r="440" ht="12.75" customHeight="1">
      <c r="A440" s="84"/>
      <c r="L440" s="67"/>
    </row>
    <row r="441" ht="12.75" customHeight="1">
      <c r="A441" s="84"/>
      <c r="L441" s="67"/>
    </row>
    <row r="442" ht="12.75" customHeight="1">
      <c r="A442" s="84"/>
      <c r="L442" s="67"/>
    </row>
    <row r="443" ht="12.75" customHeight="1">
      <c r="A443" s="84"/>
      <c r="L443" s="67"/>
    </row>
    <row r="444" ht="12.75" customHeight="1">
      <c r="A444" s="84"/>
      <c r="L444" s="67"/>
    </row>
    <row r="445" ht="12.75" customHeight="1">
      <c r="A445" s="84"/>
      <c r="L445" s="67"/>
    </row>
    <row r="446" ht="12.75" customHeight="1">
      <c r="A446" s="84"/>
      <c r="L446" s="67"/>
    </row>
    <row r="447" ht="12.75" customHeight="1">
      <c r="A447" s="84"/>
      <c r="L447" s="67"/>
    </row>
    <row r="448" ht="12.75" customHeight="1">
      <c r="A448" s="84"/>
      <c r="L448" s="67"/>
    </row>
    <row r="449" ht="12.75" customHeight="1">
      <c r="A449" s="84"/>
      <c r="L449" s="67"/>
    </row>
    <row r="450" ht="12.75" customHeight="1">
      <c r="A450" s="84"/>
      <c r="L450" s="67"/>
    </row>
    <row r="451" ht="12.75" customHeight="1">
      <c r="A451" s="84"/>
      <c r="L451" s="67"/>
    </row>
    <row r="452" ht="12.75" customHeight="1">
      <c r="A452" s="84"/>
      <c r="L452" s="67"/>
    </row>
    <row r="453" ht="12.75" customHeight="1">
      <c r="A453" s="84"/>
      <c r="L453" s="67"/>
    </row>
    <row r="454" ht="12.75" customHeight="1">
      <c r="A454" s="84"/>
      <c r="L454" s="67"/>
    </row>
    <row r="455" ht="12.75" customHeight="1">
      <c r="A455" s="84"/>
      <c r="L455" s="67"/>
    </row>
    <row r="456" ht="12.75" customHeight="1">
      <c r="A456" s="84"/>
      <c r="L456" s="67"/>
    </row>
    <row r="457" ht="12.75" customHeight="1">
      <c r="A457" s="84"/>
      <c r="L457" s="67"/>
    </row>
    <row r="458" ht="12.75" customHeight="1">
      <c r="A458" s="84"/>
      <c r="L458" s="67"/>
    </row>
    <row r="459" ht="12.75" customHeight="1">
      <c r="A459" s="84"/>
      <c r="L459" s="67"/>
    </row>
    <row r="460" ht="12.75" customHeight="1">
      <c r="A460" s="84"/>
      <c r="L460" s="67"/>
    </row>
    <row r="461" ht="12.75" customHeight="1">
      <c r="A461" s="84"/>
      <c r="L461" s="67"/>
    </row>
    <row r="462" ht="12.75" customHeight="1">
      <c r="A462" s="84"/>
      <c r="L462" s="67"/>
    </row>
    <row r="463" ht="12.75" customHeight="1">
      <c r="A463" s="84"/>
      <c r="L463" s="67"/>
    </row>
    <row r="464" ht="12.75" customHeight="1">
      <c r="A464" s="84"/>
      <c r="L464" s="67"/>
    </row>
    <row r="465" ht="12.75" customHeight="1">
      <c r="A465" s="84"/>
      <c r="L465" s="67"/>
    </row>
    <row r="466" ht="12.75" customHeight="1">
      <c r="A466" s="84"/>
      <c r="L466" s="67"/>
    </row>
    <row r="467" ht="12.75" customHeight="1">
      <c r="A467" s="84"/>
      <c r="L467" s="67"/>
    </row>
    <row r="468" ht="12.75" customHeight="1">
      <c r="A468" s="84"/>
      <c r="L468" s="67"/>
    </row>
    <row r="469" ht="12.75" customHeight="1">
      <c r="A469" s="84"/>
      <c r="L469" s="67"/>
    </row>
    <row r="470" ht="12.75" customHeight="1">
      <c r="A470" s="84"/>
      <c r="L470" s="67"/>
    </row>
    <row r="471" ht="12.75" customHeight="1">
      <c r="A471" s="84"/>
      <c r="L471" s="67"/>
    </row>
    <row r="472" ht="12.75" customHeight="1">
      <c r="A472" s="84"/>
      <c r="L472" s="67"/>
    </row>
    <row r="473" ht="12.75" customHeight="1">
      <c r="A473" s="84"/>
      <c r="L473" s="67"/>
    </row>
    <row r="474" ht="12.75" customHeight="1">
      <c r="A474" s="84"/>
      <c r="L474" s="67"/>
    </row>
    <row r="475" ht="12.75" customHeight="1">
      <c r="A475" s="84"/>
      <c r="L475" s="67"/>
    </row>
    <row r="476" ht="12.75" customHeight="1">
      <c r="A476" s="84"/>
      <c r="L476" s="67"/>
    </row>
    <row r="477" ht="12.75" customHeight="1">
      <c r="A477" s="84"/>
      <c r="L477" s="67"/>
    </row>
    <row r="478" ht="12.75" customHeight="1">
      <c r="A478" s="84"/>
      <c r="L478" s="67"/>
    </row>
    <row r="479" ht="12.75" customHeight="1">
      <c r="A479" s="84"/>
      <c r="L479" s="67"/>
    </row>
    <row r="480" ht="12.75" customHeight="1">
      <c r="A480" s="84"/>
      <c r="L480" s="67"/>
    </row>
    <row r="481" ht="12.75" customHeight="1">
      <c r="A481" s="84"/>
      <c r="L481" s="67"/>
    </row>
    <row r="482" ht="12.75" customHeight="1">
      <c r="A482" s="84"/>
      <c r="L482" s="67"/>
    </row>
    <row r="483" ht="12.75" customHeight="1">
      <c r="A483" s="84"/>
      <c r="L483" s="67"/>
    </row>
    <row r="484" ht="12.75" customHeight="1">
      <c r="A484" s="84"/>
      <c r="L484" s="67"/>
    </row>
    <row r="485" ht="12.75" customHeight="1">
      <c r="A485" s="84"/>
      <c r="L485" s="67"/>
    </row>
    <row r="486" ht="12.75" customHeight="1">
      <c r="A486" s="84"/>
      <c r="L486" s="67"/>
    </row>
    <row r="487" ht="12.75" customHeight="1">
      <c r="A487" s="84"/>
      <c r="L487" s="67"/>
    </row>
    <row r="488" ht="12.75" customHeight="1">
      <c r="A488" s="84"/>
      <c r="L488" s="67"/>
    </row>
    <row r="489" ht="12.75" customHeight="1">
      <c r="A489" s="84"/>
      <c r="L489" s="67"/>
    </row>
    <row r="490" ht="12.75" customHeight="1">
      <c r="A490" s="84"/>
      <c r="L490" s="67"/>
    </row>
    <row r="491" ht="12.75" customHeight="1">
      <c r="A491" s="84"/>
      <c r="L491" s="67"/>
    </row>
    <row r="492" ht="12.75" customHeight="1">
      <c r="A492" s="84"/>
      <c r="L492" s="67"/>
    </row>
    <row r="493" ht="12.75" customHeight="1">
      <c r="A493" s="84"/>
      <c r="L493" s="67"/>
    </row>
    <row r="494" ht="12.75" customHeight="1">
      <c r="A494" s="84"/>
      <c r="L494" s="67"/>
    </row>
    <row r="495" ht="12.75" customHeight="1">
      <c r="A495" s="84"/>
      <c r="L495" s="67"/>
    </row>
    <row r="496" ht="12.75" customHeight="1">
      <c r="A496" s="84"/>
      <c r="L496" s="67"/>
    </row>
    <row r="497" ht="12.75" customHeight="1">
      <c r="A497" s="84"/>
      <c r="L497" s="67"/>
    </row>
    <row r="498" ht="12.75" customHeight="1">
      <c r="A498" s="84"/>
      <c r="L498" s="67"/>
    </row>
    <row r="499" ht="12.75" customHeight="1">
      <c r="A499" s="84"/>
      <c r="L499" s="67"/>
    </row>
    <row r="500" ht="12.75" customHeight="1">
      <c r="A500" s="84"/>
      <c r="L500" s="67"/>
    </row>
    <row r="501" ht="12.75" customHeight="1">
      <c r="A501" s="84"/>
      <c r="L501" s="67"/>
    </row>
    <row r="502" ht="12.75" customHeight="1">
      <c r="A502" s="84"/>
      <c r="L502" s="67"/>
    </row>
    <row r="503" ht="12.75" customHeight="1">
      <c r="A503" s="84"/>
      <c r="L503" s="67"/>
    </row>
    <row r="504" ht="12.75" customHeight="1">
      <c r="A504" s="84"/>
      <c r="L504" s="67"/>
    </row>
    <row r="505" ht="12.75" customHeight="1">
      <c r="A505" s="84"/>
      <c r="L505" s="67"/>
    </row>
    <row r="506" ht="12.75" customHeight="1">
      <c r="A506" s="84"/>
      <c r="L506" s="67"/>
    </row>
    <row r="507" ht="12.75" customHeight="1">
      <c r="A507" s="84"/>
      <c r="L507" s="67"/>
    </row>
    <row r="508" ht="12.75" customHeight="1">
      <c r="A508" s="84"/>
      <c r="L508" s="67"/>
    </row>
    <row r="509" ht="12.75" customHeight="1">
      <c r="A509" s="84"/>
      <c r="L509" s="67"/>
    </row>
    <row r="510" ht="12.75" customHeight="1">
      <c r="A510" s="84"/>
      <c r="L510" s="67"/>
    </row>
    <row r="511" ht="12.75" customHeight="1">
      <c r="A511" s="84"/>
      <c r="L511" s="67"/>
    </row>
    <row r="512" ht="12.75" customHeight="1">
      <c r="A512" s="84"/>
      <c r="L512" s="67"/>
    </row>
    <row r="513" ht="12.75" customHeight="1">
      <c r="A513" s="84"/>
      <c r="L513" s="67"/>
    </row>
    <row r="514" ht="12.75" customHeight="1">
      <c r="A514" s="84"/>
      <c r="L514" s="67"/>
    </row>
    <row r="515" ht="12.75" customHeight="1">
      <c r="A515" s="84"/>
      <c r="L515" s="67"/>
    </row>
    <row r="516" ht="12.75" customHeight="1">
      <c r="A516" s="84"/>
      <c r="L516" s="67"/>
    </row>
    <row r="517" ht="12.75" customHeight="1">
      <c r="A517" s="84"/>
      <c r="L517" s="67"/>
    </row>
    <row r="518" ht="12.75" customHeight="1">
      <c r="A518" s="84"/>
      <c r="L518" s="67"/>
    </row>
    <row r="519" ht="12.75" customHeight="1">
      <c r="A519" s="84"/>
      <c r="L519" s="67"/>
    </row>
    <row r="520" ht="12.75" customHeight="1">
      <c r="A520" s="84"/>
      <c r="L520" s="67"/>
    </row>
    <row r="521" ht="12.75" customHeight="1">
      <c r="A521" s="84"/>
      <c r="L521" s="67"/>
    </row>
    <row r="522" ht="12.75" customHeight="1">
      <c r="A522" s="84"/>
      <c r="L522" s="67"/>
    </row>
    <row r="523" ht="12.75" customHeight="1">
      <c r="A523" s="84"/>
      <c r="L523" s="67"/>
    </row>
    <row r="524" ht="12.75" customHeight="1">
      <c r="A524" s="84"/>
      <c r="L524" s="67"/>
    </row>
    <row r="525" ht="12.75" customHeight="1">
      <c r="A525" s="84"/>
      <c r="L525" s="67"/>
    </row>
    <row r="526" ht="12.75" customHeight="1">
      <c r="A526" s="84"/>
      <c r="L526" s="67"/>
    </row>
    <row r="527" ht="12.75" customHeight="1">
      <c r="A527" s="84"/>
      <c r="L527" s="67"/>
    </row>
    <row r="528" ht="12.75" customHeight="1">
      <c r="A528" s="84"/>
      <c r="L528" s="67"/>
    </row>
    <row r="529" ht="12.75" customHeight="1">
      <c r="A529" s="84"/>
      <c r="L529" s="67"/>
    </row>
    <row r="530" ht="12.75" customHeight="1">
      <c r="A530" s="84"/>
      <c r="L530" s="67"/>
    </row>
    <row r="531" ht="12.75" customHeight="1">
      <c r="A531" s="84"/>
      <c r="L531" s="67"/>
    </row>
    <row r="532" ht="12.75" customHeight="1">
      <c r="A532" s="84"/>
      <c r="L532" s="67"/>
    </row>
    <row r="533" ht="12.75" customHeight="1">
      <c r="A533" s="84"/>
      <c r="L533" s="67"/>
    </row>
    <row r="534" ht="12.75" customHeight="1">
      <c r="A534" s="84"/>
      <c r="L534" s="67"/>
    </row>
    <row r="535" ht="12.75" customHeight="1">
      <c r="A535" s="84"/>
      <c r="L535" s="67"/>
    </row>
    <row r="536" ht="12.75" customHeight="1">
      <c r="A536" s="84"/>
      <c r="L536" s="67"/>
    </row>
    <row r="537" ht="12.75" customHeight="1">
      <c r="A537" s="84"/>
      <c r="L537" s="67"/>
    </row>
    <row r="538" ht="12.75" customHeight="1">
      <c r="A538" s="84"/>
      <c r="L538" s="67"/>
    </row>
    <row r="539" ht="12.75" customHeight="1">
      <c r="A539" s="84"/>
      <c r="L539" s="67"/>
    </row>
    <row r="540" ht="12.75" customHeight="1">
      <c r="A540" s="84"/>
      <c r="L540" s="67"/>
    </row>
    <row r="541" ht="12.75" customHeight="1">
      <c r="A541" s="84"/>
      <c r="L541" s="67"/>
    </row>
    <row r="542" ht="12.75" customHeight="1">
      <c r="A542" s="84"/>
      <c r="L542" s="67"/>
    </row>
    <row r="543" ht="12.75" customHeight="1">
      <c r="A543" s="84"/>
      <c r="L543" s="67"/>
    </row>
    <row r="544" ht="12.75" customHeight="1">
      <c r="A544" s="84"/>
      <c r="L544" s="67"/>
    </row>
    <row r="545" ht="12.75" customHeight="1">
      <c r="A545" s="84"/>
      <c r="L545" s="67"/>
    </row>
    <row r="546" ht="12.75" customHeight="1">
      <c r="A546" s="84"/>
      <c r="L546" s="67"/>
    </row>
    <row r="547" ht="12.75" customHeight="1">
      <c r="A547" s="84"/>
      <c r="L547" s="67"/>
    </row>
    <row r="548" ht="12.75" customHeight="1">
      <c r="A548" s="84"/>
      <c r="L548" s="67"/>
    </row>
    <row r="549" ht="12.75" customHeight="1">
      <c r="A549" s="84"/>
      <c r="L549" s="67"/>
    </row>
    <row r="550" ht="12.75" customHeight="1">
      <c r="A550" s="84"/>
      <c r="L550" s="67"/>
    </row>
    <row r="551" ht="12.75" customHeight="1">
      <c r="A551" s="84"/>
      <c r="L551" s="67"/>
    </row>
    <row r="552" ht="12.75" customHeight="1">
      <c r="A552" s="84"/>
      <c r="L552" s="67"/>
    </row>
    <row r="553" ht="12.75" customHeight="1">
      <c r="A553" s="84"/>
      <c r="L553" s="67"/>
    </row>
    <row r="554" ht="12.75" customHeight="1">
      <c r="A554" s="84"/>
      <c r="L554" s="67"/>
    </row>
    <row r="555" ht="12.75" customHeight="1">
      <c r="A555" s="84"/>
      <c r="L555" s="67"/>
    </row>
    <row r="556" ht="12.75" customHeight="1">
      <c r="A556" s="84"/>
      <c r="L556" s="67"/>
    </row>
    <row r="557" ht="12.75" customHeight="1">
      <c r="A557" s="84"/>
      <c r="L557" s="67"/>
    </row>
    <row r="558" ht="12.75" customHeight="1">
      <c r="A558" s="84"/>
      <c r="L558" s="67"/>
    </row>
    <row r="559" ht="12.75" customHeight="1">
      <c r="A559" s="84"/>
      <c r="L559" s="67"/>
    </row>
    <row r="560" ht="12.75" customHeight="1">
      <c r="A560" s="84"/>
      <c r="L560" s="67"/>
    </row>
    <row r="561" ht="12.75" customHeight="1">
      <c r="A561" s="84"/>
      <c r="L561" s="67"/>
    </row>
    <row r="562" ht="12.75" customHeight="1">
      <c r="A562" s="84"/>
      <c r="L562" s="67"/>
    </row>
    <row r="563" ht="12.75" customHeight="1">
      <c r="A563" s="84"/>
      <c r="L563" s="67"/>
    </row>
    <row r="564" ht="12.75" customHeight="1">
      <c r="A564" s="84"/>
      <c r="L564" s="67"/>
    </row>
    <row r="565" ht="12.75" customHeight="1">
      <c r="A565" s="84"/>
      <c r="L565" s="67"/>
    </row>
    <row r="566" ht="12.75" customHeight="1">
      <c r="A566" s="84"/>
      <c r="L566" s="67"/>
    </row>
    <row r="567" ht="12.75" customHeight="1">
      <c r="A567" s="84"/>
      <c r="L567" s="67"/>
    </row>
    <row r="568" ht="12.75" customHeight="1">
      <c r="A568" s="84"/>
      <c r="L568" s="67"/>
    </row>
    <row r="569" ht="12.75" customHeight="1">
      <c r="A569" s="84"/>
      <c r="L569" s="67"/>
    </row>
    <row r="570" ht="12.75" customHeight="1">
      <c r="A570" s="84"/>
      <c r="L570" s="67"/>
    </row>
    <row r="571" ht="12.75" customHeight="1">
      <c r="A571" s="84"/>
      <c r="L571" s="67"/>
    </row>
    <row r="572" ht="12.75" customHeight="1">
      <c r="A572" s="84"/>
      <c r="L572" s="67"/>
    </row>
    <row r="573" ht="12.75" customHeight="1">
      <c r="A573" s="84"/>
      <c r="L573" s="67"/>
    </row>
    <row r="574" ht="12.75" customHeight="1">
      <c r="A574" s="84"/>
      <c r="L574" s="67"/>
    </row>
    <row r="575" ht="12.75" customHeight="1">
      <c r="A575" s="84"/>
      <c r="L575" s="67"/>
    </row>
    <row r="576" ht="12.75" customHeight="1">
      <c r="A576" s="84"/>
      <c r="L576" s="67"/>
    </row>
    <row r="577" ht="12.75" customHeight="1">
      <c r="A577" s="84"/>
      <c r="L577" s="67"/>
    </row>
    <row r="578" ht="12.75" customHeight="1">
      <c r="A578" s="84"/>
      <c r="L578" s="67"/>
    </row>
    <row r="579" ht="12.75" customHeight="1">
      <c r="A579" s="84"/>
      <c r="L579" s="67"/>
    </row>
    <row r="580" ht="12.75" customHeight="1">
      <c r="A580" s="84"/>
      <c r="L580" s="67"/>
    </row>
    <row r="581" ht="12.75" customHeight="1">
      <c r="A581" s="84"/>
      <c r="L581" s="67"/>
    </row>
    <row r="582" ht="12.75" customHeight="1">
      <c r="A582" s="84"/>
      <c r="L582" s="67"/>
    </row>
    <row r="583" ht="12.75" customHeight="1">
      <c r="A583" s="84"/>
      <c r="L583" s="67"/>
    </row>
    <row r="584" ht="12.75" customHeight="1">
      <c r="A584" s="84"/>
      <c r="L584" s="67"/>
    </row>
    <row r="585" ht="12.75" customHeight="1">
      <c r="A585" s="84"/>
      <c r="L585" s="67"/>
    </row>
    <row r="586" ht="12.75" customHeight="1">
      <c r="A586" s="84"/>
      <c r="L586" s="67"/>
    </row>
    <row r="587" ht="12.75" customHeight="1">
      <c r="A587" s="84"/>
      <c r="L587" s="67"/>
    </row>
    <row r="588" ht="12.75" customHeight="1">
      <c r="A588" s="84"/>
      <c r="L588" s="67"/>
    </row>
    <row r="589" ht="12.75" customHeight="1">
      <c r="A589" s="84"/>
      <c r="L589" s="67"/>
    </row>
    <row r="590" ht="12.75" customHeight="1">
      <c r="A590" s="84"/>
      <c r="L590" s="67"/>
    </row>
    <row r="591" ht="12.75" customHeight="1">
      <c r="A591" s="84"/>
      <c r="L591" s="67"/>
    </row>
    <row r="592" ht="12.75" customHeight="1">
      <c r="A592" s="84"/>
      <c r="L592" s="67"/>
    </row>
    <row r="593" ht="12.75" customHeight="1">
      <c r="A593" s="84"/>
      <c r="L593" s="67"/>
    </row>
    <row r="594" ht="12.75" customHeight="1">
      <c r="A594" s="84"/>
      <c r="L594" s="67"/>
    </row>
    <row r="595" ht="12.75" customHeight="1">
      <c r="A595" s="84"/>
      <c r="L595" s="67"/>
    </row>
    <row r="596" ht="12.75" customHeight="1">
      <c r="A596" s="84"/>
      <c r="L596" s="67"/>
    </row>
    <row r="597" ht="12.75" customHeight="1">
      <c r="A597" s="84"/>
      <c r="L597" s="67"/>
    </row>
    <row r="598" ht="12.75" customHeight="1">
      <c r="A598" s="84"/>
      <c r="L598" s="67"/>
    </row>
    <row r="599" ht="12.75" customHeight="1">
      <c r="A599" s="84"/>
      <c r="L599" s="67"/>
    </row>
    <row r="600" ht="12.75" customHeight="1">
      <c r="A600" s="84"/>
      <c r="L600" s="67"/>
    </row>
    <row r="601" ht="12.75" customHeight="1">
      <c r="A601" s="84"/>
      <c r="L601" s="67"/>
    </row>
    <row r="602" ht="12.75" customHeight="1">
      <c r="A602" s="84"/>
      <c r="L602" s="67"/>
    </row>
    <row r="603" ht="12.75" customHeight="1">
      <c r="A603" s="84"/>
      <c r="L603" s="67"/>
    </row>
    <row r="604" ht="12.75" customHeight="1">
      <c r="A604" s="84"/>
      <c r="L604" s="67"/>
    </row>
    <row r="605" ht="12.75" customHeight="1">
      <c r="A605" s="84"/>
      <c r="L605" s="67"/>
    </row>
    <row r="606" ht="12.75" customHeight="1">
      <c r="A606" s="84"/>
      <c r="L606" s="67"/>
    </row>
    <row r="607" ht="12.75" customHeight="1">
      <c r="A607" s="84"/>
      <c r="L607" s="67"/>
    </row>
    <row r="608" ht="12.75" customHeight="1">
      <c r="A608" s="84"/>
      <c r="L608" s="67"/>
    </row>
    <row r="609" ht="12.75" customHeight="1">
      <c r="A609" s="84"/>
      <c r="L609" s="67"/>
    </row>
    <row r="610" ht="12.75" customHeight="1">
      <c r="A610" s="84"/>
      <c r="L610" s="67"/>
    </row>
    <row r="611" ht="12.75" customHeight="1">
      <c r="A611" s="84"/>
      <c r="L611" s="67"/>
    </row>
    <row r="612" ht="12.75" customHeight="1">
      <c r="A612" s="84"/>
      <c r="L612" s="67"/>
    </row>
    <row r="613" ht="12.75" customHeight="1">
      <c r="A613" s="84"/>
      <c r="L613" s="67"/>
    </row>
    <row r="614" ht="12.75" customHeight="1">
      <c r="A614" s="84"/>
      <c r="L614" s="67"/>
    </row>
    <row r="615" ht="12.75" customHeight="1">
      <c r="A615" s="84"/>
      <c r="L615" s="67"/>
    </row>
    <row r="616" ht="12.75" customHeight="1">
      <c r="A616" s="84"/>
      <c r="L616" s="67"/>
    </row>
    <row r="617" ht="12.75" customHeight="1">
      <c r="A617" s="84"/>
      <c r="L617" s="67"/>
    </row>
    <row r="618" ht="12.75" customHeight="1">
      <c r="A618" s="84"/>
      <c r="L618" s="67"/>
    </row>
    <row r="619" ht="12.75" customHeight="1">
      <c r="A619" s="84"/>
      <c r="L619" s="67"/>
    </row>
    <row r="620" ht="12.75" customHeight="1">
      <c r="A620" s="84"/>
      <c r="L620" s="67"/>
    </row>
    <row r="621" ht="12.75" customHeight="1">
      <c r="A621" s="84"/>
      <c r="L621" s="67"/>
    </row>
    <row r="622" ht="12.75" customHeight="1">
      <c r="A622" s="84"/>
      <c r="L622" s="67"/>
    </row>
    <row r="623" ht="12.75" customHeight="1">
      <c r="A623" s="84"/>
      <c r="L623" s="67"/>
    </row>
    <row r="624" ht="12.75" customHeight="1">
      <c r="A624" s="84"/>
      <c r="L624" s="67"/>
    </row>
    <row r="625" ht="12.75" customHeight="1">
      <c r="A625" s="84"/>
      <c r="L625" s="67"/>
    </row>
    <row r="626" ht="12.75" customHeight="1">
      <c r="A626" s="84"/>
      <c r="L626" s="67"/>
    </row>
    <row r="627" ht="12.75" customHeight="1">
      <c r="A627" s="84"/>
      <c r="L627" s="67"/>
    </row>
    <row r="628" ht="12.75" customHeight="1">
      <c r="A628" s="84"/>
      <c r="L628" s="67"/>
    </row>
    <row r="629" ht="12.75" customHeight="1">
      <c r="A629" s="84"/>
      <c r="L629" s="67"/>
    </row>
    <row r="630" ht="12.75" customHeight="1">
      <c r="A630" s="84"/>
      <c r="L630" s="67"/>
    </row>
    <row r="631" ht="12.75" customHeight="1">
      <c r="A631" s="84"/>
      <c r="L631" s="67"/>
    </row>
    <row r="632" ht="12.75" customHeight="1">
      <c r="A632" s="84"/>
      <c r="L632" s="67"/>
    </row>
    <row r="633" ht="12.75" customHeight="1">
      <c r="A633" s="84"/>
      <c r="L633" s="67"/>
    </row>
    <row r="634" ht="12.75" customHeight="1">
      <c r="A634" s="84"/>
      <c r="L634" s="67"/>
    </row>
    <row r="635" ht="12.75" customHeight="1">
      <c r="A635" s="84"/>
      <c r="L635" s="67"/>
    </row>
    <row r="636" ht="12.75" customHeight="1">
      <c r="A636" s="84"/>
      <c r="L636" s="67"/>
    </row>
    <row r="637" ht="12.75" customHeight="1">
      <c r="A637" s="84"/>
      <c r="L637" s="67"/>
    </row>
    <row r="638" ht="12.75" customHeight="1">
      <c r="A638" s="84"/>
      <c r="L638" s="67"/>
    </row>
    <row r="639" ht="12.75" customHeight="1">
      <c r="A639" s="84"/>
      <c r="L639" s="67"/>
    </row>
    <row r="640" ht="12.75" customHeight="1">
      <c r="A640" s="84"/>
      <c r="L640" s="67"/>
    </row>
    <row r="641" ht="12.75" customHeight="1">
      <c r="A641" s="84"/>
      <c r="L641" s="67"/>
    </row>
    <row r="642" ht="12.75" customHeight="1">
      <c r="A642" s="84"/>
      <c r="L642" s="67"/>
    </row>
    <row r="643" ht="12.75" customHeight="1">
      <c r="A643" s="84"/>
      <c r="L643" s="67"/>
    </row>
    <row r="644" ht="12.75" customHeight="1">
      <c r="A644" s="84"/>
      <c r="L644" s="67"/>
    </row>
    <row r="645" ht="12.75" customHeight="1">
      <c r="A645" s="84"/>
      <c r="L645" s="67"/>
    </row>
    <row r="646" ht="12.75" customHeight="1">
      <c r="A646" s="84"/>
      <c r="L646" s="67"/>
    </row>
    <row r="647" ht="12.75" customHeight="1">
      <c r="A647" s="84"/>
      <c r="L647" s="67"/>
    </row>
    <row r="648" ht="12.75" customHeight="1">
      <c r="A648" s="84"/>
      <c r="L648" s="67"/>
    </row>
    <row r="649" ht="12.75" customHeight="1">
      <c r="A649" s="84"/>
      <c r="L649" s="67"/>
    </row>
    <row r="650" ht="12.75" customHeight="1">
      <c r="A650" s="84"/>
      <c r="L650" s="67"/>
    </row>
    <row r="651" ht="12.75" customHeight="1">
      <c r="A651" s="84"/>
      <c r="L651" s="67"/>
    </row>
    <row r="652" ht="12.75" customHeight="1">
      <c r="A652" s="84"/>
      <c r="L652" s="67"/>
    </row>
    <row r="653" ht="12.75" customHeight="1">
      <c r="A653" s="84"/>
      <c r="L653" s="67"/>
    </row>
    <row r="654" ht="12.75" customHeight="1">
      <c r="A654" s="84"/>
      <c r="L654" s="67"/>
    </row>
    <row r="655" ht="12.75" customHeight="1">
      <c r="A655" s="84"/>
      <c r="L655" s="67"/>
    </row>
    <row r="656" ht="12.75" customHeight="1">
      <c r="A656" s="84"/>
      <c r="L656" s="67"/>
    </row>
    <row r="657" ht="12.75" customHeight="1">
      <c r="A657" s="84"/>
      <c r="L657" s="67"/>
    </row>
    <row r="658" ht="12.75" customHeight="1">
      <c r="A658" s="84"/>
      <c r="L658" s="67"/>
    </row>
    <row r="659" ht="12.75" customHeight="1">
      <c r="A659" s="84"/>
      <c r="L659" s="67"/>
    </row>
    <row r="660" ht="12.75" customHeight="1">
      <c r="A660" s="84"/>
      <c r="L660" s="67"/>
    </row>
    <row r="661" ht="12.75" customHeight="1">
      <c r="A661" s="84"/>
      <c r="L661" s="67"/>
    </row>
    <row r="662" ht="12.75" customHeight="1">
      <c r="A662" s="84"/>
      <c r="L662" s="67"/>
    </row>
    <row r="663" ht="12.75" customHeight="1">
      <c r="A663" s="84"/>
      <c r="L663" s="67"/>
    </row>
    <row r="664" ht="12.75" customHeight="1">
      <c r="A664" s="84"/>
      <c r="L664" s="67"/>
    </row>
    <row r="665" ht="12.75" customHeight="1">
      <c r="A665" s="84"/>
      <c r="L665" s="67"/>
    </row>
    <row r="666" ht="12.75" customHeight="1">
      <c r="A666" s="84"/>
      <c r="L666" s="67"/>
    </row>
    <row r="667" ht="12.75" customHeight="1">
      <c r="A667" s="84"/>
      <c r="L667" s="67"/>
    </row>
    <row r="668" ht="12.75" customHeight="1">
      <c r="A668" s="84"/>
      <c r="L668" s="67"/>
    </row>
    <row r="669" ht="12.75" customHeight="1">
      <c r="A669" s="84"/>
      <c r="L669" s="67"/>
    </row>
    <row r="670" ht="12.75" customHeight="1">
      <c r="A670" s="84"/>
      <c r="L670" s="67"/>
    </row>
    <row r="671" ht="12.75" customHeight="1">
      <c r="A671" s="84"/>
      <c r="L671" s="67"/>
    </row>
    <row r="672" ht="12.75" customHeight="1">
      <c r="A672" s="84"/>
      <c r="L672" s="67"/>
    </row>
    <row r="673" ht="12.75" customHeight="1">
      <c r="A673" s="84"/>
      <c r="L673" s="67"/>
    </row>
    <row r="674" ht="12.75" customHeight="1">
      <c r="A674" s="84"/>
      <c r="L674" s="67"/>
    </row>
    <row r="675" ht="12.75" customHeight="1">
      <c r="A675" s="84"/>
      <c r="L675" s="67"/>
    </row>
    <row r="676" ht="12.75" customHeight="1">
      <c r="A676" s="84"/>
      <c r="L676" s="67"/>
    </row>
    <row r="677" ht="12.75" customHeight="1">
      <c r="A677" s="84"/>
      <c r="L677" s="67"/>
    </row>
    <row r="678" ht="12.75" customHeight="1">
      <c r="A678" s="84"/>
      <c r="L678" s="67"/>
    </row>
    <row r="679" ht="12.75" customHeight="1">
      <c r="A679" s="84"/>
      <c r="L679" s="67"/>
    </row>
    <row r="680" ht="12.75" customHeight="1">
      <c r="A680" s="84"/>
      <c r="L680" s="67"/>
    </row>
    <row r="681" ht="12.75" customHeight="1">
      <c r="A681" s="84"/>
      <c r="L681" s="67"/>
    </row>
    <row r="682" ht="12.75" customHeight="1">
      <c r="A682" s="84"/>
      <c r="L682" s="67"/>
    </row>
    <row r="683" ht="12.75" customHeight="1">
      <c r="A683" s="84"/>
      <c r="L683" s="67"/>
    </row>
    <row r="684" ht="12.75" customHeight="1">
      <c r="A684" s="84"/>
      <c r="L684" s="67"/>
    </row>
    <row r="685" ht="12.75" customHeight="1">
      <c r="A685" s="84"/>
      <c r="L685" s="67"/>
    </row>
    <row r="686" ht="12.75" customHeight="1">
      <c r="A686" s="84"/>
      <c r="L686" s="67"/>
    </row>
    <row r="687" ht="12.75" customHeight="1">
      <c r="A687" s="84"/>
      <c r="L687" s="67"/>
    </row>
    <row r="688" ht="12.75" customHeight="1">
      <c r="A688" s="84"/>
      <c r="L688" s="67"/>
    </row>
    <row r="689" ht="12.75" customHeight="1">
      <c r="A689" s="84"/>
      <c r="L689" s="67"/>
    </row>
    <row r="690" ht="12.75" customHeight="1">
      <c r="A690" s="84"/>
      <c r="L690" s="67"/>
    </row>
    <row r="691" ht="12.75" customHeight="1">
      <c r="A691" s="84"/>
      <c r="L691" s="67"/>
    </row>
    <row r="692" ht="12.75" customHeight="1">
      <c r="A692" s="84"/>
      <c r="L692" s="67"/>
    </row>
    <row r="693" ht="12.75" customHeight="1">
      <c r="A693" s="84"/>
      <c r="L693" s="67"/>
    </row>
    <row r="694" ht="12.75" customHeight="1">
      <c r="A694" s="84"/>
      <c r="L694" s="67"/>
    </row>
    <row r="695" ht="12.75" customHeight="1">
      <c r="A695" s="84"/>
      <c r="L695" s="67"/>
    </row>
    <row r="696" ht="12.75" customHeight="1">
      <c r="A696" s="84"/>
      <c r="L696" s="67"/>
    </row>
    <row r="697" ht="12.75" customHeight="1">
      <c r="A697" s="84"/>
      <c r="L697" s="67"/>
    </row>
    <row r="698" ht="12.75" customHeight="1">
      <c r="A698" s="84"/>
      <c r="L698" s="67"/>
    </row>
    <row r="699" ht="12.75" customHeight="1">
      <c r="A699" s="84"/>
      <c r="L699" s="67"/>
    </row>
    <row r="700" ht="12.75" customHeight="1">
      <c r="A700" s="84"/>
      <c r="L700" s="67"/>
    </row>
    <row r="701" ht="12.75" customHeight="1">
      <c r="A701" s="84"/>
      <c r="L701" s="67"/>
    </row>
    <row r="702" ht="12.75" customHeight="1">
      <c r="A702" s="84"/>
      <c r="L702" s="67"/>
    </row>
    <row r="703" ht="12.75" customHeight="1">
      <c r="A703" s="84"/>
      <c r="L703" s="67"/>
    </row>
    <row r="704" ht="12.75" customHeight="1">
      <c r="A704" s="84"/>
      <c r="L704" s="67"/>
    </row>
    <row r="705" ht="12.75" customHeight="1">
      <c r="A705" s="84"/>
      <c r="L705" s="67"/>
    </row>
    <row r="706" ht="12.75" customHeight="1">
      <c r="A706" s="84"/>
      <c r="L706" s="67"/>
    </row>
    <row r="707" ht="12.75" customHeight="1">
      <c r="A707" s="84"/>
      <c r="L707" s="67"/>
    </row>
    <row r="708" ht="12.75" customHeight="1">
      <c r="A708" s="84"/>
      <c r="L708" s="67"/>
    </row>
    <row r="709" ht="12.75" customHeight="1">
      <c r="A709" s="84"/>
      <c r="L709" s="67"/>
    </row>
    <row r="710" ht="12.75" customHeight="1">
      <c r="A710" s="84"/>
      <c r="L710" s="67"/>
    </row>
    <row r="711" ht="12.75" customHeight="1">
      <c r="A711" s="84"/>
      <c r="L711" s="67"/>
    </row>
    <row r="712" ht="12.75" customHeight="1">
      <c r="A712" s="84"/>
      <c r="L712" s="67"/>
    </row>
    <row r="713" ht="12.75" customHeight="1">
      <c r="A713" s="84"/>
      <c r="L713" s="67"/>
    </row>
    <row r="714" ht="12.75" customHeight="1">
      <c r="A714" s="84"/>
      <c r="L714" s="67"/>
    </row>
    <row r="715" ht="12.75" customHeight="1">
      <c r="A715" s="84"/>
      <c r="L715" s="67"/>
    </row>
    <row r="716" ht="12.75" customHeight="1">
      <c r="A716" s="84"/>
      <c r="L716" s="67"/>
    </row>
    <row r="717" ht="12.75" customHeight="1">
      <c r="A717" s="84"/>
      <c r="L717" s="67"/>
    </row>
    <row r="718" ht="12.75" customHeight="1">
      <c r="A718" s="84"/>
      <c r="L718" s="67"/>
    </row>
    <row r="719" ht="12.75" customHeight="1">
      <c r="A719" s="84"/>
      <c r="L719" s="67"/>
    </row>
    <row r="720" ht="12.75" customHeight="1">
      <c r="A720" s="84"/>
      <c r="L720" s="67"/>
    </row>
    <row r="721" ht="12.75" customHeight="1">
      <c r="A721" s="84"/>
      <c r="L721" s="67"/>
    </row>
    <row r="722" ht="12.75" customHeight="1">
      <c r="A722" s="84"/>
      <c r="L722" s="67"/>
    </row>
    <row r="723" ht="12.75" customHeight="1">
      <c r="A723" s="84"/>
      <c r="L723" s="67"/>
    </row>
    <row r="724" ht="12.75" customHeight="1">
      <c r="A724" s="84"/>
      <c r="L724" s="67"/>
    </row>
    <row r="725" ht="12.75" customHeight="1">
      <c r="A725" s="84"/>
      <c r="L725" s="67"/>
    </row>
    <row r="726" ht="12.75" customHeight="1">
      <c r="A726" s="84"/>
      <c r="L726" s="67"/>
    </row>
    <row r="727" ht="12.75" customHeight="1">
      <c r="A727" s="84"/>
      <c r="L727" s="67"/>
    </row>
    <row r="728" ht="12.75" customHeight="1">
      <c r="A728" s="84"/>
      <c r="L728" s="67"/>
    </row>
    <row r="729" ht="12.75" customHeight="1">
      <c r="A729" s="84"/>
      <c r="L729" s="67"/>
    </row>
    <row r="730" ht="12.75" customHeight="1">
      <c r="A730" s="84"/>
      <c r="L730" s="67"/>
    </row>
    <row r="731" ht="12.75" customHeight="1">
      <c r="A731" s="84"/>
      <c r="L731" s="67"/>
    </row>
    <row r="732" ht="12.75" customHeight="1">
      <c r="A732" s="84"/>
      <c r="L732" s="67"/>
    </row>
    <row r="733" ht="12.75" customHeight="1">
      <c r="A733" s="84"/>
      <c r="L733" s="67"/>
    </row>
    <row r="734" ht="12.75" customHeight="1">
      <c r="A734" s="84"/>
      <c r="L734" s="67"/>
    </row>
    <row r="735" ht="12.75" customHeight="1">
      <c r="A735" s="84"/>
      <c r="L735" s="67"/>
    </row>
    <row r="736" ht="12.75" customHeight="1">
      <c r="A736" s="84"/>
      <c r="L736" s="67"/>
    </row>
    <row r="737" ht="12.75" customHeight="1">
      <c r="A737" s="84"/>
      <c r="L737" s="67"/>
    </row>
    <row r="738" ht="12.75" customHeight="1">
      <c r="A738" s="84"/>
      <c r="L738" s="67"/>
    </row>
    <row r="739" ht="12.75" customHeight="1">
      <c r="A739" s="84"/>
      <c r="L739" s="67"/>
    </row>
    <row r="740" ht="12.75" customHeight="1">
      <c r="A740" s="84"/>
      <c r="L740" s="67"/>
    </row>
    <row r="741" ht="12.75" customHeight="1">
      <c r="A741" s="84"/>
      <c r="L741" s="67"/>
    </row>
    <row r="742" ht="12.75" customHeight="1">
      <c r="A742" s="84"/>
      <c r="L742" s="67"/>
    </row>
    <row r="743" ht="12.75" customHeight="1">
      <c r="A743" s="84"/>
      <c r="L743" s="67"/>
    </row>
    <row r="744" ht="12.75" customHeight="1">
      <c r="A744" s="84"/>
      <c r="L744" s="67"/>
    </row>
    <row r="745" ht="12.75" customHeight="1">
      <c r="A745" s="84"/>
      <c r="L745" s="67"/>
    </row>
    <row r="746" ht="12.75" customHeight="1">
      <c r="A746" s="84"/>
      <c r="L746" s="67"/>
    </row>
    <row r="747" ht="12.75" customHeight="1">
      <c r="A747" s="84"/>
      <c r="L747" s="67"/>
    </row>
    <row r="748" ht="12.75" customHeight="1">
      <c r="A748" s="84"/>
      <c r="L748" s="67"/>
    </row>
    <row r="749" ht="12.75" customHeight="1">
      <c r="A749" s="84"/>
      <c r="L749" s="67"/>
    </row>
    <row r="750" ht="12.75" customHeight="1">
      <c r="A750" s="84"/>
      <c r="L750" s="67"/>
    </row>
    <row r="751" ht="12.75" customHeight="1">
      <c r="A751" s="84"/>
      <c r="L751" s="67"/>
    </row>
    <row r="752" ht="12.75" customHeight="1">
      <c r="A752" s="84"/>
      <c r="L752" s="67"/>
    </row>
    <row r="753" ht="12.75" customHeight="1">
      <c r="A753" s="84"/>
      <c r="L753" s="67"/>
    </row>
    <row r="754" ht="12.75" customHeight="1">
      <c r="A754" s="84"/>
      <c r="L754" s="67"/>
    </row>
    <row r="755" ht="12.75" customHeight="1">
      <c r="A755" s="84"/>
      <c r="L755" s="67"/>
    </row>
    <row r="756" ht="12.75" customHeight="1">
      <c r="A756" s="84"/>
      <c r="L756" s="67"/>
    </row>
    <row r="757" ht="12.75" customHeight="1">
      <c r="A757" s="84"/>
      <c r="L757" s="67"/>
    </row>
    <row r="758" ht="12.75" customHeight="1">
      <c r="A758" s="84"/>
      <c r="L758" s="67"/>
    </row>
    <row r="759" ht="12.75" customHeight="1">
      <c r="A759" s="84"/>
      <c r="L759" s="67"/>
    </row>
    <row r="760" ht="12.75" customHeight="1">
      <c r="A760" s="84"/>
      <c r="L760" s="67"/>
    </row>
    <row r="761" ht="12.75" customHeight="1">
      <c r="A761" s="84"/>
      <c r="L761" s="67"/>
    </row>
    <row r="762" ht="12.75" customHeight="1">
      <c r="A762" s="84"/>
      <c r="L762" s="67"/>
    </row>
    <row r="763" ht="12.75" customHeight="1">
      <c r="A763" s="84"/>
      <c r="L763" s="67"/>
    </row>
    <row r="764" ht="12.75" customHeight="1">
      <c r="A764" s="84"/>
      <c r="L764" s="67"/>
    </row>
    <row r="765" ht="12.75" customHeight="1">
      <c r="A765" s="84"/>
      <c r="L765" s="67"/>
    </row>
    <row r="766" ht="12.75" customHeight="1">
      <c r="A766" s="84"/>
      <c r="L766" s="67"/>
    </row>
    <row r="767" ht="12.75" customHeight="1">
      <c r="A767" s="84"/>
      <c r="L767" s="67"/>
    </row>
    <row r="768" ht="12.75" customHeight="1">
      <c r="A768" s="84"/>
      <c r="L768" s="67"/>
    </row>
    <row r="769" ht="12.75" customHeight="1">
      <c r="A769" s="84"/>
      <c r="L769" s="67"/>
    </row>
    <row r="770" ht="12.75" customHeight="1">
      <c r="A770" s="84"/>
      <c r="L770" s="67"/>
    </row>
    <row r="771" ht="12.75" customHeight="1">
      <c r="A771" s="84"/>
      <c r="L771" s="67"/>
    </row>
    <row r="772" ht="12.75" customHeight="1">
      <c r="A772" s="84"/>
      <c r="L772" s="67"/>
    </row>
    <row r="773" ht="12.75" customHeight="1">
      <c r="A773" s="84"/>
      <c r="L773" s="67"/>
    </row>
    <row r="774" ht="12.75" customHeight="1">
      <c r="A774" s="84"/>
      <c r="L774" s="67"/>
    </row>
    <row r="775" ht="12.75" customHeight="1">
      <c r="A775" s="84"/>
      <c r="L775" s="67"/>
    </row>
    <row r="776" ht="12.75" customHeight="1">
      <c r="A776" s="84"/>
      <c r="L776" s="67"/>
    </row>
    <row r="777" ht="12.75" customHeight="1">
      <c r="A777" s="84"/>
      <c r="L777" s="67"/>
    </row>
    <row r="778" ht="12.75" customHeight="1">
      <c r="A778" s="84"/>
      <c r="L778" s="67"/>
    </row>
    <row r="779" ht="12.75" customHeight="1">
      <c r="A779" s="84"/>
      <c r="L779" s="67"/>
    </row>
    <row r="780" ht="12.75" customHeight="1">
      <c r="A780" s="84"/>
      <c r="L780" s="67"/>
    </row>
    <row r="781" ht="12.75" customHeight="1">
      <c r="A781" s="84"/>
      <c r="L781" s="67"/>
    </row>
    <row r="782" ht="12.75" customHeight="1">
      <c r="A782" s="84"/>
      <c r="L782" s="67"/>
    </row>
    <row r="783" ht="12.75" customHeight="1">
      <c r="A783" s="84"/>
      <c r="L783" s="67"/>
    </row>
    <row r="784" ht="12.75" customHeight="1">
      <c r="A784" s="84"/>
      <c r="L784" s="67"/>
    </row>
    <row r="785" ht="12.75" customHeight="1">
      <c r="A785" s="84"/>
      <c r="L785" s="67"/>
    </row>
    <row r="786" ht="12.75" customHeight="1">
      <c r="A786" s="84"/>
      <c r="L786" s="67"/>
    </row>
    <row r="787" ht="12.75" customHeight="1">
      <c r="A787" s="84"/>
      <c r="L787" s="67"/>
    </row>
    <row r="788" ht="12.75" customHeight="1">
      <c r="A788" s="84"/>
      <c r="L788" s="67"/>
    </row>
    <row r="789" ht="12.75" customHeight="1">
      <c r="A789" s="84"/>
      <c r="L789" s="67"/>
    </row>
    <row r="790" ht="12.75" customHeight="1">
      <c r="A790" s="84"/>
      <c r="L790" s="67"/>
    </row>
    <row r="791" ht="12.75" customHeight="1">
      <c r="A791" s="84"/>
      <c r="L791" s="67"/>
    </row>
    <row r="792" ht="12.75" customHeight="1">
      <c r="A792" s="84"/>
      <c r="L792" s="67"/>
    </row>
    <row r="793" ht="12.75" customHeight="1">
      <c r="A793" s="84"/>
      <c r="L793" s="67"/>
    </row>
    <row r="794" ht="12.75" customHeight="1">
      <c r="A794" s="84"/>
      <c r="L794" s="67"/>
    </row>
    <row r="795" ht="12.75" customHeight="1">
      <c r="A795" s="84"/>
      <c r="L795" s="67"/>
    </row>
    <row r="796" ht="12.75" customHeight="1">
      <c r="A796" s="84"/>
      <c r="L796" s="67"/>
    </row>
    <row r="797" ht="12.75" customHeight="1">
      <c r="A797" s="84"/>
      <c r="L797" s="67"/>
    </row>
    <row r="798" ht="12.75" customHeight="1">
      <c r="A798" s="84"/>
      <c r="L798" s="67"/>
    </row>
    <row r="799" ht="12.75" customHeight="1">
      <c r="A799" s="84"/>
      <c r="L799" s="67"/>
    </row>
    <row r="800" ht="12.75" customHeight="1">
      <c r="A800" s="84"/>
      <c r="L800" s="67"/>
    </row>
    <row r="801" ht="12.75" customHeight="1">
      <c r="A801" s="84"/>
      <c r="L801" s="67"/>
    </row>
    <row r="802" ht="12.75" customHeight="1">
      <c r="A802" s="84"/>
      <c r="L802" s="67"/>
    </row>
    <row r="803" ht="12.75" customHeight="1">
      <c r="A803" s="84"/>
      <c r="L803" s="67"/>
    </row>
    <row r="804" ht="12.75" customHeight="1">
      <c r="A804" s="84"/>
      <c r="L804" s="67"/>
    </row>
    <row r="805" ht="12.75" customHeight="1">
      <c r="A805" s="84"/>
      <c r="L805" s="67"/>
    </row>
    <row r="806" ht="12.75" customHeight="1">
      <c r="A806" s="84"/>
      <c r="L806" s="67"/>
    </row>
    <row r="807" ht="12.75" customHeight="1">
      <c r="A807" s="84"/>
      <c r="L807" s="67"/>
    </row>
    <row r="808" ht="12.75" customHeight="1">
      <c r="A808" s="84"/>
      <c r="L808" s="67"/>
    </row>
    <row r="809" ht="12.75" customHeight="1">
      <c r="A809" s="84"/>
      <c r="L809" s="67"/>
    </row>
    <row r="810" ht="12.75" customHeight="1">
      <c r="A810" s="84"/>
      <c r="L810" s="67"/>
    </row>
    <row r="811" ht="12.75" customHeight="1">
      <c r="A811" s="84"/>
      <c r="L811" s="67"/>
    </row>
    <row r="812" ht="12.75" customHeight="1">
      <c r="A812" s="84"/>
      <c r="L812" s="67"/>
    </row>
    <row r="813" ht="12.75" customHeight="1">
      <c r="A813" s="84"/>
      <c r="L813" s="67"/>
    </row>
    <row r="814" ht="12.75" customHeight="1">
      <c r="A814" s="84"/>
      <c r="L814" s="67"/>
    </row>
    <row r="815" ht="12.75" customHeight="1">
      <c r="A815" s="84"/>
      <c r="L815" s="67"/>
    </row>
    <row r="816" ht="12.75" customHeight="1">
      <c r="A816" s="84"/>
      <c r="L816" s="67"/>
    </row>
    <row r="817" ht="12.75" customHeight="1">
      <c r="A817" s="84"/>
      <c r="L817" s="67"/>
    </row>
    <row r="818" ht="12.75" customHeight="1">
      <c r="A818" s="84"/>
      <c r="L818" s="67"/>
    </row>
    <row r="819" ht="12.75" customHeight="1">
      <c r="A819" s="84"/>
      <c r="L819" s="67"/>
    </row>
    <row r="820" ht="12.75" customHeight="1">
      <c r="A820" s="84"/>
      <c r="L820" s="67"/>
    </row>
    <row r="821" ht="12.75" customHeight="1">
      <c r="A821" s="84"/>
      <c r="L821" s="67"/>
    </row>
    <row r="822" ht="12.75" customHeight="1">
      <c r="A822" s="84"/>
      <c r="L822" s="67"/>
    </row>
    <row r="823" ht="12.75" customHeight="1">
      <c r="A823" s="84"/>
      <c r="L823" s="67"/>
    </row>
    <row r="824" ht="12.75" customHeight="1">
      <c r="A824" s="84"/>
      <c r="L824" s="67"/>
    </row>
    <row r="825" ht="12.75" customHeight="1">
      <c r="A825" s="84"/>
      <c r="L825" s="67"/>
    </row>
    <row r="826" ht="12.75" customHeight="1">
      <c r="A826" s="84"/>
      <c r="L826" s="67"/>
    </row>
    <row r="827" ht="12.75" customHeight="1">
      <c r="A827" s="84"/>
      <c r="L827" s="67"/>
    </row>
    <row r="828" ht="12.75" customHeight="1">
      <c r="A828" s="84"/>
      <c r="L828" s="67"/>
    </row>
    <row r="829" ht="12.75" customHeight="1">
      <c r="A829" s="84"/>
      <c r="L829" s="67"/>
    </row>
    <row r="830" ht="12.75" customHeight="1">
      <c r="A830" s="84"/>
      <c r="L830" s="67"/>
    </row>
    <row r="831" ht="12.75" customHeight="1">
      <c r="A831" s="84"/>
      <c r="L831" s="67"/>
    </row>
    <row r="832" ht="12.75" customHeight="1">
      <c r="A832" s="84"/>
      <c r="L832" s="67"/>
    </row>
    <row r="833" ht="12.75" customHeight="1">
      <c r="A833" s="84"/>
      <c r="L833" s="67"/>
    </row>
    <row r="834" ht="12.75" customHeight="1">
      <c r="A834" s="84"/>
      <c r="L834" s="67"/>
    </row>
    <row r="835" ht="12.75" customHeight="1">
      <c r="A835" s="84"/>
      <c r="L835" s="67"/>
    </row>
    <row r="836" ht="12.75" customHeight="1">
      <c r="A836" s="84"/>
      <c r="L836" s="67"/>
    </row>
    <row r="837" ht="12.75" customHeight="1">
      <c r="A837" s="84"/>
      <c r="L837" s="67"/>
    </row>
    <row r="838" ht="12.75" customHeight="1">
      <c r="A838" s="84"/>
      <c r="L838" s="67"/>
    </row>
    <row r="839" ht="12.75" customHeight="1">
      <c r="A839" s="84"/>
      <c r="L839" s="67"/>
    </row>
    <row r="840" ht="12.75" customHeight="1">
      <c r="A840" s="84"/>
      <c r="L840" s="67"/>
    </row>
    <row r="841" ht="12.75" customHeight="1">
      <c r="A841" s="84"/>
      <c r="L841" s="67"/>
    </row>
    <row r="842" ht="12.75" customHeight="1">
      <c r="A842" s="84"/>
      <c r="L842" s="67"/>
    </row>
    <row r="843" ht="12.75" customHeight="1">
      <c r="A843" s="84"/>
      <c r="L843" s="67"/>
    </row>
    <row r="844" ht="12.75" customHeight="1">
      <c r="A844" s="84"/>
      <c r="L844" s="67"/>
    </row>
    <row r="845" ht="12.75" customHeight="1">
      <c r="A845" s="84"/>
      <c r="L845" s="67"/>
    </row>
    <row r="846" ht="12.75" customHeight="1">
      <c r="A846" s="84"/>
      <c r="L846" s="67"/>
    </row>
    <row r="847" ht="12.75" customHeight="1">
      <c r="A847" s="84"/>
      <c r="L847" s="67"/>
    </row>
    <row r="848" ht="12.75" customHeight="1">
      <c r="A848" s="84"/>
      <c r="L848" s="67"/>
    </row>
    <row r="849" ht="12.75" customHeight="1">
      <c r="A849" s="84"/>
      <c r="L849" s="67"/>
    </row>
    <row r="850" ht="12.75" customHeight="1">
      <c r="A850" s="84"/>
      <c r="L850" s="67"/>
    </row>
    <row r="851" ht="12.75" customHeight="1">
      <c r="A851" s="84"/>
      <c r="L851" s="67"/>
    </row>
    <row r="852" ht="12.75" customHeight="1">
      <c r="A852" s="84"/>
      <c r="L852" s="67"/>
    </row>
    <row r="853" ht="12.75" customHeight="1">
      <c r="A853" s="84"/>
      <c r="L853" s="67"/>
    </row>
    <row r="854" ht="12.75" customHeight="1">
      <c r="A854" s="84"/>
      <c r="L854" s="67"/>
    </row>
    <row r="855" ht="12.75" customHeight="1">
      <c r="A855" s="84"/>
      <c r="L855" s="67"/>
    </row>
    <row r="856" ht="12.75" customHeight="1">
      <c r="A856" s="84"/>
      <c r="L856" s="67"/>
    </row>
    <row r="857" ht="12.75" customHeight="1">
      <c r="A857" s="84"/>
      <c r="L857" s="67"/>
    </row>
    <row r="858" ht="12.75" customHeight="1">
      <c r="A858" s="84"/>
      <c r="L858" s="67"/>
    </row>
    <row r="859" ht="12.75" customHeight="1">
      <c r="A859" s="84"/>
      <c r="L859" s="67"/>
    </row>
    <row r="860" ht="12.75" customHeight="1">
      <c r="A860" s="84"/>
      <c r="L860" s="67"/>
    </row>
    <row r="861" ht="12.75" customHeight="1">
      <c r="A861" s="84"/>
      <c r="L861" s="67"/>
    </row>
    <row r="862" ht="12.75" customHeight="1">
      <c r="A862" s="84"/>
      <c r="L862" s="67"/>
    </row>
    <row r="863" ht="12.75" customHeight="1">
      <c r="A863" s="84"/>
      <c r="L863" s="67"/>
    </row>
    <row r="864" ht="12.75" customHeight="1">
      <c r="A864" s="84"/>
      <c r="L864" s="67"/>
    </row>
    <row r="865" ht="12.75" customHeight="1">
      <c r="A865" s="84"/>
      <c r="L865" s="67"/>
    </row>
    <row r="866" ht="12.75" customHeight="1">
      <c r="A866" s="84"/>
      <c r="L866" s="67"/>
    </row>
    <row r="867" ht="12.75" customHeight="1">
      <c r="A867" s="84"/>
      <c r="L867" s="67"/>
    </row>
    <row r="868" ht="12.75" customHeight="1">
      <c r="A868" s="84"/>
      <c r="L868" s="67"/>
    </row>
    <row r="869" ht="12.75" customHeight="1">
      <c r="A869" s="84"/>
      <c r="L869" s="67"/>
    </row>
    <row r="870" ht="12.75" customHeight="1">
      <c r="A870" s="84"/>
      <c r="L870" s="67"/>
    </row>
    <row r="871" ht="12.75" customHeight="1">
      <c r="A871" s="84"/>
      <c r="L871" s="67"/>
    </row>
    <row r="872" ht="12.75" customHeight="1">
      <c r="A872" s="84"/>
      <c r="L872" s="67"/>
    </row>
    <row r="873" ht="12.75" customHeight="1">
      <c r="A873" s="84"/>
      <c r="L873" s="67"/>
    </row>
    <row r="874" ht="12.75" customHeight="1">
      <c r="A874" s="84"/>
      <c r="L874" s="67"/>
    </row>
    <row r="875" ht="12.75" customHeight="1">
      <c r="A875" s="84"/>
      <c r="L875" s="67"/>
    </row>
    <row r="876" ht="12.75" customHeight="1">
      <c r="A876" s="84"/>
      <c r="L876" s="67"/>
    </row>
    <row r="877" ht="12.75" customHeight="1">
      <c r="A877" s="84"/>
      <c r="L877" s="67"/>
    </row>
    <row r="878" ht="12.75" customHeight="1">
      <c r="A878" s="84"/>
      <c r="L878" s="67"/>
    </row>
    <row r="879" ht="12.75" customHeight="1">
      <c r="A879" s="84"/>
      <c r="L879" s="67"/>
    </row>
    <row r="880" ht="12.75" customHeight="1">
      <c r="A880" s="84"/>
      <c r="L880" s="67"/>
    </row>
    <row r="881" ht="12.75" customHeight="1">
      <c r="A881" s="84"/>
      <c r="L881" s="67"/>
    </row>
    <row r="882" ht="12.75" customHeight="1">
      <c r="A882" s="84"/>
      <c r="L882" s="67"/>
    </row>
    <row r="883" ht="12.75" customHeight="1">
      <c r="A883" s="84"/>
      <c r="L883" s="67"/>
    </row>
    <row r="884" ht="12.75" customHeight="1">
      <c r="A884" s="84"/>
      <c r="L884" s="67"/>
    </row>
    <row r="885" ht="12.75" customHeight="1">
      <c r="A885" s="84"/>
      <c r="L885" s="67"/>
    </row>
    <row r="886" ht="12.75" customHeight="1">
      <c r="A886" s="84"/>
      <c r="L886" s="67"/>
    </row>
    <row r="887" ht="12.75" customHeight="1">
      <c r="A887" s="84"/>
      <c r="L887" s="67"/>
    </row>
    <row r="888" ht="12.75" customHeight="1">
      <c r="A888" s="84"/>
      <c r="L888" s="67"/>
    </row>
    <row r="889" ht="12.75" customHeight="1">
      <c r="A889" s="84"/>
      <c r="L889" s="67"/>
    </row>
    <row r="890" ht="12.75" customHeight="1">
      <c r="A890" s="84"/>
      <c r="L890" s="67"/>
    </row>
    <row r="891" ht="12.75" customHeight="1">
      <c r="A891" s="84"/>
      <c r="L891" s="67"/>
    </row>
    <row r="892" ht="12.75" customHeight="1">
      <c r="A892" s="84"/>
      <c r="L892" s="67"/>
    </row>
    <row r="893" ht="12.75" customHeight="1">
      <c r="A893" s="84"/>
      <c r="L893" s="67"/>
    </row>
    <row r="894" ht="12.75" customHeight="1">
      <c r="A894" s="84"/>
      <c r="L894" s="67"/>
    </row>
    <row r="895" ht="12.75" customHeight="1">
      <c r="A895" s="84"/>
      <c r="L895" s="67"/>
    </row>
    <row r="896" ht="12.75" customHeight="1">
      <c r="A896" s="84"/>
      <c r="L896" s="67"/>
    </row>
    <row r="897" ht="12.75" customHeight="1">
      <c r="A897" s="84"/>
      <c r="L897" s="67"/>
    </row>
    <row r="898" ht="12.75" customHeight="1">
      <c r="A898" s="84"/>
      <c r="L898" s="67"/>
    </row>
    <row r="899" ht="12.75" customHeight="1">
      <c r="A899" s="84"/>
      <c r="L899" s="67"/>
    </row>
    <row r="900" ht="12.75" customHeight="1">
      <c r="A900" s="84"/>
      <c r="L900" s="67"/>
    </row>
    <row r="901" ht="12.75" customHeight="1">
      <c r="A901" s="84"/>
      <c r="L901" s="67"/>
    </row>
    <row r="902" ht="12.75" customHeight="1">
      <c r="A902" s="84"/>
      <c r="L902" s="67"/>
    </row>
    <row r="903" ht="12.75" customHeight="1">
      <c r="A903" s="84"/>
      <c r="L903" s="67"/>
    </row>
    <row r="904" ht="12.75" customHeight="1">
      <c r="A904" s="84"/>
      <c r="L904" s="67"/>
    </row>
    <row r="905" ht="12.75" customHeight="1">
      <c r="A905" s="84"/>
      <c r="L905" s="67"/>
    </row>
    <row r="906" ht="12.75" customHeight="1">
      <c r="A906" s="84"/>
      <c r="L906" s="67"/>
    </row>
    <row r="907" ht="12.75" customHeight="1">
      <c r="A907" s="84"/>
      <c r="L907" s="67"/>
    </row>
    <row r="908" ht="12.75" customHeight="1">
      <c r="A908" s="84"/>
      <c r="L908" s="67"/>
    </row>
    <row r="909" ht="12.75" customHeight="1">
      <c r="A909" s="84"/>
      <c r="L909" s="67"/>
    </row>
    <row r="910" ht="12.75" customHeight="1">
      <c r="A910" s="84"/>
      <c r="L910" s="67"/>
    </row>
    <row r="911" ht="12.75" customHeight="1">
      <c r="A911" s="84"/>
      <c r="L911" s="67"/>
    </row>
    <row r="912" ht="12.75" customHeight="1">
      <c r="A912" s="84"/>
      <c r="L912" s="67"/>
    </row>
    <row r="913" ht="12.75" customHeight="1">
      <c r="A913" s="84"/>
      <c r="L913" s="67"/>
    </row>
    <row r="914" ht="12.75" customHeight="1">
      <c r="A914" s="84"/>
      <c r="L914" s="67"/>
    </row>
    <row r="915" ht="12.75" customHeight="1">
      <c r="A915" s="84"/>
      <c r="L915" s="67"/>
    </row>
    <row r="916" ht="12.75" customHeight="1">
      <c r="A916" s="84"/>
      <c r="L916" s="67"/>
    </row>
    <row r="917" ht="12.75" customHeight="1">
      <c r="A917" s="84"/>
      <c r="L917" s="67"/>
    </row>
    <row r="918" ht="12.75" customHeight="1">
      <c r="A918" s="84"/>
      <c r="L918" s="67"/>
    </row>
    <row r="919" ht="12.75" customHeight="1">
      <c r="A919" s="84"/>
      <c r="L919" s="67"/>
    </row>
    <row r="920" ht="12.75" customHeight="1">
      <c r="A920" s="84"/>
      <c r="L920" s="67"/>
    </row>
    <row r="921" ht="12.75" customHeight="1">
      <c r="A921" s="84"/>
      <c r="L921" s="67"/>
    </row>
    <row r="922" ht="12.75" customHeight="1">
      <c r="A922" s="84"/>
      <c r="L922" s="67"/>
    </row>
    <row r="923" ht="12.75" customHeight="1">
      <c r="A923" s="84"/>
      <c r="L923" s="67"/>
    </row>
    <row r="924" ht="12.75" customHeight="1">
      <c r="A924" s="84"/>
      <c r="L924" s="67"/>
    </row>
    <row r="925" ht="12.75" customHeight="1">
      <c r="A925" s="84"/>
      <c r="L925" s="67"/>
    </row>
    <row r="926" ht="12.75" customHeight="1">
      <c r="A926" s="84"/>
      <c r="L926" s="67"/>
    </row>
    <row r="927" ht="12.75" customHeight="1">
      <c r="A927" s="84"/>
      <c r="L927" s="67"/>
    </row>
    <row r="928" ht="12.75" customHeight="1">
      <c r="A928" s="84"/>
      <c r="L928" s="67"/>
    </row>
    <row r="929" ht="12.75" customHeight="1">
      <c r="A929" s="84"/>
      <c r="L929" s="67"/>
    </row>
    <row r="930" ht="12.75" customHeight="1">
      <c r="A930" s="84"/>
      <c r="L930" s="67"/>
    </row>
    <row r="931" ht="12.75" customHeight="1">
      <c r="A931" s="84"/>
      <c r="L931" s="67"/>
    </row>
    <row r="932" ht="12.75" customHeight="1">
      <c r="A932" s="84"/>
      <c r="L932" s="67"/>
    </row>
    <row r="933" ht="12.75" customHeight="1">
      <c r="A933" s="84"/>
      <c r="L933" s="67"/>
    </row>
    <row r="934" ht="12.75" customHeight="1">
      <c r="A934" s="84"/>
      <c r="L934" s="67"/>
    </row>
    <row r="935" ht="12.75" customHeight="1">
      <c r="A935" s="84"/>
      <c r="L935" s="67"/>
    </row>
    <row r="936" ht="12.75" customHeight="1">
      <c r="A936" s="84"/>
      <c r="L936" s="67"/>
    </row>
    <row r="937" ht="12.75" customHeight="1">
      <c r="A937" s="84"/>
      <c r="L937" s="67"/>
    </row>
    <row r="938" ht="12.75" customHeight="1">
      <c r="A938" s="84"/>
      <c r="L938" s="67"/>
    </row>
    <row r="939" ht="12.75" customHeight="1">
      <c r="A939" s="84"/>
      <c r="L939" s="67"/>
    </row>
    <row r="940" ht="12.75" customHeight="1">
      <c r="A940" s="84"/>
      <c r="L940" s="67"/>
    </row>
    <row r="941" ht="12.75" customHeight="1">
      <c r="A941" s="84"/>
      <c r="L941" s="67"/>
    </row>
    <row r="942" ht="12.75" customHeight="1">
      <c r="A942" s="84"/>
      <c r="L942" s="67"/>
    </row>
    <row r="943" ht="12.75" customHeight="1">
      <c r="A943" s="84"/>
      <c r="L943" s="67"/>
    </row>
    <row r="944" ht="12.75" customHeight="1">
      <c r="A944" s="84"/>
      <c r="L944" s="67"/>
    </row>
    <row r="945" ht="12.75" customHeight="1">
      <c r="A945" s="84"/>
      <c r="L945" s="67"/>
    </row>
    <row r="946" ht="12.75" customHeight="1">
      <c r="A946" s="84"/>
      <c r="L946" s="67"/>
    </row>
    <row r="947" ht="12.75" customHeight="1">
      <c r="A947" s="84"/>
      <c r="L947" s="67"/>
    </row>
    <row r="948" ht="12.75" customHeight="1">
      <c r="A948" s="84"/>
      <c r="L948" s="67"/>
    </row>
    <row r="949" ht="12.75" customHeight="1">
      <c r="A949" s="84"/>
      <c r="L949" s="67"/>
    </row>
    <row r="950" ht="12.75" customHeight="1">
      <c r="A950" s="84"/>
      <c r="L950" s="67"/>
    </row>
    <row r="951" ht="12.75" customHeight="1">
      <c r="A951" s="84"/>
      <c r="L951" s="67"/>
    </row>
    <row r="952" ht="12.75" customHeight="1">
      <c r="A952" s="84"/>
      <c r="L952" s="67"/>
    </row>
    <row r="953" ht="12.75" customHeight="1">
      <c r="A953" s="84"/>
      <c r="L953" s="67"/>
    </row>
    <row r="954" ht="12.75" customHeight="1">
      <c r="A954" s="84"/>
      <c r="L954" s="67"/>
    </row>
    <row r="955" ht="12.75" customHeight="1">
      <c r="A955" s="84"/>
      <c r="L955" s="67"/>
    </row>
    <row r="956" ht="12.75" customHeight="1">
      <c r="A956" s="84"/>
      <c r="L956" s="67"/>
    </row>
    <row r="957" ht="12.75" customHeight="1">
      <c r="A957" s="84"/>
      <c r="L957" s="67"/>
    </row>
    <row r="958" ht="12.75" customHeight="1">
      <c r="A958" s="84"/>
      <c r="L958" s="67"/>
    </row>
    <row r="959" ht="12.75" customHeight="1">
      <c r="A959" s="84"/>
      <c r="L959" s="67"/>
    </row>
    <row r="960" ht="12.75" customHeight="1">
      <c r="A960" s="84"/>
      <c r="L960" s="67"/>
    </row>
    <row r="961" ht="12.75" customHeight="1">
      <c r="A961" s="84"/>
      <c r="L961" s="67"/>
    </row>
    <row r="962" ht="12.75" customHeight="1">
      <c r="A962" s="84"/>
      <c r="L962" s="67"/>
    </row>
    <row r="963" ht="12.75" customHeight="1">
      <c r="A963" s="84"/>
      <c r="L963" s="67"/>
    </row>
    <row r="964" ht="12.75" customHeight="1">
      <c r="A964" s="84"/>
      <c r="L964" s="67"/>
    </row>
    <row r="965" ht="12.75" customHeight="1">
      <c r="A965" s="84"/>
      <c r="L965" s="67"/>
    </row>
    <row r="966" ht="12.75" customHeight="1">
      <c r="A966" s="84"/>
      <c r="L966" s="67"/>
    </row>
    <row r="967" ht="12.75" customHeight="1">
      <c r="A967" s="84"/>
      <c r="L967" s="67"/>
    </row>
    <row r="968" ht="12.75" customHeight="1">
      <c r="A968" s="84"/>
      <c r="L968" s="67"/>
    </row>
    <row r="969" ht="12.75" customHeight="1">
      <c r="A969" s="84"/>
      <c r="L969" s="67"/>
    </row>
    <row r="970" ht="12.75" customHeight="1">
      <c r="A970" s="84"/>
      <c r="L970" s="67"/>
    </row>
    <row r="971" ht="12.75" customHeight="1">
      <c r="A971" s="84"/>
      <c r="L971" s="67"/>
    </row>
    <row r="972" ht="12.75" customHeight="1">
      <c r="A972" s="84"/>
      <c r="L972" s="67"/>
    </row>
    <row r="973" ht="12.75" customHeight="1">
      <c r="A973" s="84"/>
      <c r="L973" s="67"/>
    </row>
    <row r="974" ht="12.75" customHeight="1">
      <c r="A974" s="84"/>
      <c r="L974" s="67"/>
    </row>
    <row r="975" ht="12.75" customHeight="1">
      <c r="A975" s="84"/>
      <c r="L975" s="67"/>
    </row>
    <row r="976" ht="12.75" customHeight="1">
      <c r="A976" s="84"/>
      <c r="L976" s="67"/>
    </row>
    <row r="977" ht="12.75" customHeight="1">
      <c r="A977" s="84"/>
      <c r="L977" s="67"/>
    </row>
    <row r="978" ht="12.75" customHeight="1">
      <c r="A978" s="84"/>
      <c r="L978" s="67"/>
    </row>
    <row r="979" ht="12.75" customHeight="1">
      <c r="A979" s="84"/>
      <c r="L979" s="67"/>
    </row>
    <row r="980" ht="12.75" customHeight="1">
      <c r="A980" s="84"/>
      <c r="L980" s="67"/>
    </row>
    <row r="981" ht="12.75" customHeight="1">
      <c r="A981" s="84"/>
      <c r="L981" s="67"/>
    </row>
    <row r="982" ht="12.75" customHeight="1">
      <c r="A982" s="84"/>
      <c r="L982" s="67"/>
    </row>
    <row r="983" ht="12.75" customHeight="1">
      <c r="A983" s="84"/>
      <c r="L983" s="67"/>
    </row>
    <row r="984" ht="12.75" customHeight="1">
      <c r="A984" s="84"/>
      <c r="L984" s="67"/>
    </row>
    <row r="985" ht="12.75" customHeight="1">
      <c r="A985" s="84"/>
      <c r="L985" s="67"/>
    </row>
    <row r="986" ht="12.75" customHeight="1">
      <c r="A986" s="84"/>
      <c r="L986" s="67"/>
    </row>
    <row r="987" ht="12.75" customHeight="1">
      <c r="A987" s="84"/>
      <c r="L987" s="67"/>
    </row>
    <row r="988" ht="12.75" customHeight="1">
      <c r="A988" s="84"/>
      <c r="L988" s="67"/>
    </row>
    <row r="989" ht="12.75" customHeight="1">
      <c r="A989" s="84"/>
      <c r="L989" s="67"/>
    </row>
    <row r="990" ht="12.75" customHeight="1">
      <c r="A990" s="84"/>
      <c r="L990" s="67"/>
    </row>
    <row r="991" ht="12.75" customHeight="1">
      <c r="A991" s="84"/>
      <c r="L991" s="67"/>
    </row>
    <row r="992" ht="12.75" customHeight="1">
      <c r="A992" s="84"/>
      <c r="L992" s="67"/>
    </row>
    <row r="993" ht="12.75" customHeight="1">
      <c r="A993" s="84"/>
      <c r="L993" s="67"/>
    </row>
    <row r="994" ht="12.75" customHeight="1">
      <c r="A994" s="84"/>
      <c r="L994" s="67"/>
    </row>
    <row r="995" ht="12.75" customHeight="1">
      <c r="A995" s="84"/>
      <c r="L995" s="67"/>
    </row>
    <row r="996" ht="12.75" customHeight="1">
      <c r="A996" s="84"/>
      <c r="L996" s="67"/>
    </row>
    <row r="997" ht="12.75" customHeight="1">
      <c r="A997" s="84"/>
      <c r="L997" s="67"/>
    </row>
    <row r="998" ht="12.75" customHeight="1">
      <c r="A998" s="84"/>
      <c r="L998" s="67"/>
    </row>
    <row r="999" ht="12.75" customHeight="1">
      <c r="A999" s="84"/>
      <c r="L999" s="67"/>
    </row>
    <row r="1000" ht="12.75" customHeight="1">
      <c r="A1000" s="84"/>
      <c r="L1000" s="67"/>
    </row>
  </sheetData>
  <mergeCells count="3">
    <mergeCell ref="A1:K1"/>
    <mergeCell ref="A2:K2"/>
    <mergeCell ref="A3:K3"/>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75"/>
    <col customWidth="1" min="3" max="3" width="72.63"/>
    <col customWidth="1" min="4" max="4" width="11.63"/>
    <col customWidth="1" min="5" max="5" width="12.13"/>
    <col customWidth="1" min="6" max="6" width="13.0"/>
    <col customWidth="1" min="7" max="7" width="9.88"/>
    <col customWidth="1" min="8" max="8" width="8.75"/>
    <col customWidth="1" min="9" max="9" width="15.63"/>
    <col customWidth="1" min="10" max="11" width="8.75"/>
    <col customWidth="1" min="12" max="12" width="10.88"/>
    <col customWidth="1" min="13" max="14" width="11.0"/>
    <col customWidth="1" min="15" max="15" width="12.75"/>
    <col customWidth="1" min="16" max="16" width="13.5"/>
    <col customWidth="1" min="17" max="17" width="11.5"/>
    <col customWidth="1" min="18" max="19" width="8.75"/>
    <col customWidth="1" min="20" max="20" width="10.88"/>
    <col customWidth="1" min="21" max="26" width="8.75"/>
  </cols>
  <sheetData>
    <row r="1" ht="12.75" customHeight="1"/>
    <row r="2" ht="12.75" customHeight="1"/>
    <row r="3" ht="12.75" customHeight="1"/>
    <row r="4" ht="12.75" customHeight="1">
      <c r="F4" s="69" t="s">
        <v>179</v>
      </c>
    </row>
    <row r="5" ht="12.75" customHeight="1"/>
    <row r="6" ht="12.75" customHeight="1"/>
    <row r="7" ht="12.75" customHeight="1"/>
    <row r="8" ht="12.75" customHeight="1">
      <c r="I8" s="101" t="s">
        <v>180</v>
      </c>
    </row>
    <row r="9" ht="12.75" customHeight="1"/>
    <row r="10" ht="12.75" customHeight="1">
      <c r="B10" s="102" t="s">
        <v>181</v>
      </c>
      <c r="C10" s="102" t="s">
        <v>182</v>
      </c>
      <c r="D10" s="102" t="s">
        <v>183</v>
      </c>
      <c r="E10" s="102" t="s">
        <v>184</v>
      </c>
      <c r="F10" s="103" t="s">
        <v>185</v>
      </c>
      <c r="G10" s="103" t="s">
        <v>186</v>
      </c>
      <c r="H10" s="103" t="s">
        <v>187</v>
      </c>
      <c r="I10" s="103" t="s">
        <v>188</v>
      </c>
      <c r="J10" s="103" t="s">
        <v>189</v>
      </c>
      <c r="K10" s="102" t="s">
        <v>190</v>
      </c>
      <c r="L10" s="102" t="s">
        <v>191</v>
      </c>
      <c r="M10" s="103" t="s">
        <v>192</v>
      </c>
      <c r="N10" s="102" t="s">
        <v>193</v>
      </c>
      <c r="O10" s="102" t="s">
        <v>194</v>
      </c>
      <c r="P10" s="104" t="s">
        <v>195</v>
      </c>
      <c r="Q10" s="105" t="s">
        <v>196</v>
      </c>
      <c r="R10" s="105" t="s">
        <v>197</v>
      </c>
      <c r="S10" s="105" t="s">
        <v>198</v>
      </c>
      <c r="T10" s="106" t="s">
        <v>199</v>
      </c>
    </row>
    <row r="11" ht="12.75" customHeight="1">
      <c r="B11" s="107">
        <v>1.0</v>
      </c>
      <c r="C11" s="108" t="s">
        <v>200</v>
      </c>
      <c r="D11" s="109" t="s">
        <v>201</v>
      </c>
      <c r="E11" s="110">
        <v>1.0</v>
      </c>
      <c r="F11" s="110" t="s">
        <v>202</v>
      </c>
      <c r="G11" s="107" t="s">
        <v>203</v>
      </c>
      <c r="H11" s="107" t="s">
        <v>204</v>
      </c>
      <c r="I11" s="111" t="s">
        <v>205</v>
      </c>
      <c r="J11" s="111" t="s">
        <v>202</v>
      </c>
      <c r="K11" s="107"/>
      <c r="L11" s="107"/>
      <c r="M11" s="107"/>
      <c r="N11" s="111" t="s">
        <v>206</v>
      </c>
      <c r="O11" s="107"/>
      <c r="P11" s="107"/>
      <c r="Q11" s="107"/>
      <c r="R11" s="107"/>
      <c r="S11" s="107"/>
      <c r="T11" s="107"/>
      <c r="V11" s="112"/>
      <c r="W11" s="112"/>
      <c r="X11" s="112"/>
    </row>
    <row r="12" ht="12.75" customHeight="1">
      <c r="B12" s="107"/>
      <c r="C12" s="111" t="s">
        <v>207</v>
      </c>
      <c r="D12" s="109" t="s">
        <v>208</v>
      </c>
      <c r="E12" s="110">
        <v>1.0</v>
      </c>
      <c r="F12" s="110" t="s">
        <v>202</v>
      </c>
      <c r="G12" s="107" t="s">
        <v>203</v>
      </c>
      <c r="H12" s="107" t="s">
        <v>204</v>
      </c>
      <c r="I12" s="111" t="s">
        <v>205</v>
      </c>
      <c r="J12" s="111" t="s">
        <v>202</v>
      </c>
      <c r="K12" s="107"/>
      <c r="L12" s="107"/>
      <c r="M12" s="107"/>
      <c r="N12" s="111" t="s">
        <v>206</v>
      </c>
      <c r="O12" s="107"/>
      <c r="P12" s="107"/>
      <c r="Q12" s="107"/>
      <c r="R12" s="107"/>
      <c r="S12" s="107"/>
      <c r="T12" s="107"/>
      <c r="V12" s="112"/>
      <c r="W12" s="112"/>
      <c r="X12" s="112"/>
    </row>
    <row r="13" ht="12.75" customHeight="1">
      <c r="B13" s="107"/>
      <c r="C13" s="111" t="s">
        <v>209</v>
      </c>
      <c r="D13" s="109" t="s">
        <v>210</v>
      </c>
      <c r="E13" s="110">
        <v>1.0</v>
      </c>
      <c r="F13" s="110" t="s">
        <v>202</v>
      </c>
      <c r="G13" s="107" t="s">
        <v>203</v>
      </c>
      <c r="H13" s="107" t="s">
        <v>204</v>
      </c>
      <c r="I13" s="111" t="s">
        <v>205</v>
      </c>
      <c r="J13" s="111" t="s">
        <v>202</v>
      </c>
      <c r="K13" s="107"/>
      <c r="L13" s="107"/>
      <c r="M13" s="107"/>
      <c r="N13" s="111" t="s">
        <v>206</v>
      </c>
      <c r="O13" s="107"/>
      <c r="P13" s="107"/>
      <c r="Q13" s="107"/>
      <c r="R13" s="107"/>
      <c r="S13" s="107"/>
      <c r="T13" s="107"/>
      <c r="V13" s="112"/>
      <c r="W13" s="112"/>
      <c r="X13" s="112"/>
    </row>
    <row r="14" ht="12.75" customHeight="1">
      <c r="B14" s="107"/>
      <c r="C14" s="111" t="s">
        <v>211</v>
      </c>
      <c r="D14" s="109" t="s">
        <v>212</v>
      </c>
      <c r="E14" s="110">
        <v>1.0</v>
      </c>
      <c r="F14" s="110" t="s">
        <v>202</v>
      </c>
      <c r="G14" s="107" t="s">
        <v>203</v>
      </c>
      <c r="H14" s="107" t="s">
        <v>204</v>
      </c>
      <c r="I14" s="111" t="s">
        <v>205</v>
      </c>
      <c r="J14" s="111" t="s">
        <v>202</v>
      </c>
      <c r="K14" s="107"/>
      <c r="L14" s="107"/>
      <c r="M14" s="107"/>
      <c r="N14" s="111" t="s">
        <v>206</v>
      </c>
      <c r="O14" s="107"/>
      <c r="P14" s="107"/>
      <c r="Q14" s="107"/>
      <c r="R14" s="107"/>
      <c r="S14" s="107"/>
      <c r="T14" s="107"/>
      <c r="V14" s="112"/>
      <c r="W14" s="113"/>
      <c r="X14" s="113"/>
    </row>
    <row r="15" ht="12.75" customHeight="1">
      <c r="B15" s="107"/>
      <c r="C15" s="111" t="s">
        <v>213</v>
      </c>
      <c r="D15" s="109" t="s">
        <v>214</v>
      </c>
      <c r="E15" s="110">
        <v>1.0</v>
      </c>
      <c r="F15" s="110" t="s">
        <v>202</v>
      </c>
      <c r="G15" s="107" t="s">
        <v>203</v>
      </c>
      <c r="H15" s="107" t="s">
        <v>204</v>
      </c>
      <c r="I15" s="111" t="s">
        <v>205</v>
      </c>
      <c r="J15" s="111" t="s">
        <v>202</v>
      </c>
      <c r="K15" s="107"/>
      <c r="L15" s="107"/>
      <c r="M15" s="107"/>
      <c r="N15" s="111" t="s">
        <v>206</v>
      </c>
      <c r="O15" s="107"/>
      <c r="P15" s="107"/>
      <c r="Q15" s="107"/>
      <c r="R15" s="107"/>
      <c r="S15" s="107"/>
      <c r="T15" s="107"/>
      <c r="V15" s="114"/>
      <c r="W15" s="115"/>
      <c r="X15" s="115"/>
    </row>
    <row r="16" ht="12.75" customHeight="1">
      <c r="B16" s="107"/>
      <c r="C16" s="111" t="s">
        <v>215</v>
      </c>
      <c r="D16" s="109" t="s">
        <v>216</v>
      </c>
      <c r="E16" s="110">
        <v>1.0</v>
      </c>
      <c r="F16" s="110" t="s">
        <v>202</v>
      </c>
      <c r="G16" s="107" t="s">
        <v>203</v>
      </c>
      <c r="H16" s="107" t="s">
        <v>204</v>
      </c>
      <c r="I16" s="111" t="s">
        <v>205</v>
      </c>
      <c r="J16" s="111" t="s">
        <v>202</v>
      </c>
      <c r="K16" s="107"/>
      <c r="L16" s="107"/>
      <c r="M16" s="107"/>
      <c r="N16" s="111" t="s">
        <v>206</v>
      </c>
      <c r="O16" s="107"/>
      <c r="P16" s="107"/>
      <c r="Q16" s="107"/>
      <c r="R16" s="107"/>
      <c r="S16" s="107"/>
      <c r="T16" s="107"/>
      <c r="V16" s="112"/>
      <c r="W16" s="116"/>
      <c r="X16" s="116"/>
    </row>
    <row r="17" ht="12.75" customHeight="1">
      <c r="B17" s="107"/>
      <c r="C17" s="117" t="s">
        <v>217</v>
      </c>
      <c r="D17" s="109" t="s">
        <v>218</v>
      </c>
      <c r="E17" s="110">
        <v>1.0</v>
      </c>
      <c r="F17" s="110" t="s">
        <v>202</v>
      </c>
      <c r="G17" s="107" t="s">
        <v>203</v>
      </c>
      <c r="H17" s="107" t="s">
        <v>204</v>
      </c>
      <c r="I17" s="111" t="s">
        <v>205</v>
      </c>
      <c r="J17" s="111" t="s">
        <v>202</v>
      </c>
      <c r="K17" s="107"/>
      <c r="L17" s="107"/>
      <c r="M17" s="107"/>
      <c r="N17" s="111" t="s">
        <v>206</v>
      </c>
      <c r="O17" s="107"/>
      <c r="P17" s="107"/>
      <c r="Q17" s="107"/>
      <c r="R17" s="107"/>
      <c r="S17" s="107"/>
      <c r="T17" s="107"/>
      <c r="V17" s="112"/>
      <c r="W17" s="112"/>
      <c r="X17" s="112"/>
    </row>
    <row r="18" ht="12.75" customHeight="1">
      <c r="A18" s="74"/>
      <c r="B18" s="118"/>
      <c r="C18" s="117" t="s">
        <v>219</v>
      </c>
      <c r="D18" s="109" t="s">
        <v>218</v>
      </c>
      <c r="E18" s="110">
        <v>1.0</v>
      </c>
      <c r="F18" s="110" t="s">
        <v>202</v>
      </c>
      <c r="G18" s="107" t="s">
        <v>203</v>
      </c>
      <c r="H18" s="107" t="s">
        <v>220</v>
      </c>
      <c r="I18" s="111" t="s">
        <v>205</v>
      </c>
      <c r="J18" s="111" t="s">
        <v>202</v>
      </c>
      <c r="K18" s="118"/>
      <c r="L18" s="118"/>
      <c r="M18" s="118"/>
      <c r="N18" s="111" t="s">
        <v>206</v>
      </c>
      <c r="O18" s="118"/>
      <c r="P18" s="118"/>
      <c r="Q18" s="118"/>
      <c r="R18" s="118"/>
      <c r="S18" s="118"/>
      <c r="T18" s="118"/>
      <c r="U18" s="74"/>
      <c r="V18" s="112"/>
      <c r="W18" s="113"/>
      <c r="X18" s="113"/>
      <c r="Y18" s="74"/>
      <c r="Z18" s="74"/>
    </row>
    <row r="19" ht="12.75" customHeight="1">
      <c r="B19" s="118"/>
      <c r="C19" s="117" t="s">
        <v>221</v>
      </c>
      <c r="D19" s="109" t="s">
        <v>218</v>
      </c>
      <c r="E19" s="110">
        <v>1.0</v>
      </c>
      <c r="F19" s="110" t="s">
        <v>202</v>
      </c>
      <c r="G19" s="111" t="s">
        <v>203</v>
      </c>
      <c r="H19" s="107"/>
      <c r="I19" s="111" t="s">
        <v>205</v>
      </c>
      <c r="J19" s="111" t="s">
        <v>202</v>
      </c>
      <c r="K19" s="118"/>
      <c r="L19" s="118"/>
      <c r="M19" s="118"/>
      <c r="N19" s="111" t="s">
        <v>206</v>
      </c>
      <c r="O19" s="118"/>
      <c r="P19" s="118"/>
      <c r="Q19" s="118"/>
      <c r="R19" s="118"/>
      <c r="S19" s="118"/>
      <c r="T19" s="118"/>
      <c r="V19" s="114"/>
      <c r="W19" s="115"/>
      <c r="X19" s="115"/>
    </row>
    <row r="20" ht="12.75" customHeight="1">
      <c r="B20" s="118"/>
      <c r="C20" s="111" t="s">
        <v>222</v>
      </c>
      <c r="D20" s="109" t="s">
        <v>218</v>
      </c>
      <c r="E20" s="110">
        <v>1.0</v>
      </c>
      <c r="F20" s="110" t="s">
        <v>202</v>
      </c>
      <c r="G20" s="107" t="s">
        <v>203</v>
      </c>
      <c r="H20" s="107" t="s">
        <v>223</v>
      </c>
      <c r="I20" s="111" t="s">
        <v>205</v>
      </c>
      <c r="J20" s="111" t="s">
        <v>202</v>
      </c>
      <c r="K20" s="118"/>
      <c r="L20" s="118"/>
      <c r="M20" s="118"/>
      <c r="N20" s="111" t="s">
        <v>206</v>
      </c>
      <c r="O20" s="118"/>
      <c r="P20" s="118"/>
      <c r="Q20" s="118"/>
      <c r="R20" s="118"/>
      <c r="S20" s="118"/>
      <c r="T20" s="118"/>
      <c r="V20" s="112"/>
      <c r="W20" s="116"/>
      <c r="X20" s="116"/>
    </row>
    <row r="21" ht="12.75" customHeight="1">
      <c r="B21" s="118"/>
      <c r="C21" s="117" t="s">
        <v>224</v>
      </c>
      <c r="D21" s="109" t="s">
        <v>218</v>
      </c>
      <c r="E21" s="110">
        <v>1.0</v>
      </c>
      <c r="F21" s="110" t="s">
        <v>202</v>
      </c>
      <c r="G21" s="107" t="s">
        <v>203</v>
      </c>
      <c r="H21" s="107" t="s">
        <v>225</v>
      </c>
      <c r="I21" s="111" t="s">
        <v>205</v>
      </c>
      <c r="J21" s="111" t="s">
        <v>202</v>
      </c>
      <c r="K21" s="118"/>
      <c r="L21" s="118"/>
      <c r="M21" s="118"/>
      <c r="N21" s="111" t="s">
        <v>206</v>
      </c>
      <c r="O21" s="118"/>
      <c r="P21" s="118"/>
      <c r="Q21" s="118"/>
      <c r="R21" s="118"/>
      <c r="S21" s="118"/>
      <c r="T21" s="118"/>
      <c r="V21" s="114"/>
      <c r="W21" s="112"/>
      <c r="X21" s="112"/>
    </row>
    <row r="22" ht="12.75" customHeight="1">
      <c r="B22" s="118"/>
      <c r="C22" s="117" t="s">
        <v>226</v>
      </c>
      <c r="D22" s="109" t="s">
        <v>218</v>
      </c>
      <c r="E22" s="110">
        <v>1.0</v>
      </c>
      <c r="F22" s="110" t="s">
        <v>202</v>
      </c>
      <c r="G22" s="107" t="s">
        <v>203</v>
      </c>
      <c r="H22" s="107" t="s">
        <v>204</v>
      </c>
      <c r="I22" s="111" t="s">
        <v>205</v>
      </c>
      <c r="J22" s="111" t="s">
        <v>202</v>
      </c>
      <c r="K22" s="118"/>
      <c r="L22" s="118"/>
      <c r="M22" s="118"/>
      <c r="N22" s="111" t="s">
        <v>206</v>
      </c>
      <c r="O22" s="118"/>
      <c r="P22" s="118"/>
      <c r="Q22" s="118"/>
      <c r="R22" s="118"/>
      <c r="S22" s="118"/>
      <c r="T22" s="118"/>
      <c r="V22" s="112"/>
      <c r="W22" s="112"/>
      <c r="X22" s="112"/>
    </row>
    <row r="23" ht="12.75" customHeight="1">
      <c r="B23" s="107"/>
      <c r="C23" s="117" t="s">
        <v>227</v>
      </c>
      <c r="D23" s="109" t="s">
        <v>218</v>
      </c>
      <c r="E23" s="110">
        <v>1.0</v>
      </c>
      <c r="F23" s="110" t="s">
        <v>202</v>
      </c>
      <c r="G23" s="107" t="s">
        <v>203</v>
      </c>
      <c r="H23" s="107" t="s">
        <v>204</v>
      </c>
      <c r="I23" s="111" t="s">
        <v>205</v>
      </c>
      <c r="J23" s="111" t="s">
        <v>202</v>
      </c>
      <c r="K23" s="107"/>
      <c r="L23" s="107"/>
      <c r="M23" s="107"/>
      <c r="N23" s="111" t="s">
        <v>206</v>
      </c>
      <c r="O23" s="107"/>
      <c r="P23" s="107"/>
      <c r="Q23" s="107"/>
      <c r="R23" s="107"/>
      <c r="S23" s="107"/>
      <c r="T23" s="107"/>
      <c r="V23" s="114"/>
      <c r="W23" s="119"/>
      <c r="X23" s="119"/>
    </row>
    <row r="24" ht="12.75" customHeight="1">
      <c r="B24" s="107"/>
      <c r="C24" s="111" t="s">
        <v>228</v>
      </c>
      <c r="D24" s="109" t="s">
        <v>218</v>
      </c>
      <c r="E24" s="110">
        <v>1.0</v>
      </c>
      <c r="F24" s="110" t="s">
        <v>202</v>
      </c>
      <c r="G24" s="107" t="s">
        <v>203</v>
      </c>
      <c r="H24" s="107" t="s">
        <v>204</v>
      </c>
      <c r="I24" s="111" t="s">
        <v>205</v>
      </c>
      <c r="J24" s="111" t="s">
        <v>202</v>
      </c>
      <c r="K24" s="107"/>
      <c r="L24" s="107"/>
      <c r="M24" s="107"/>
      <c r="N24" s="111" t="s">
        <v>206</v>
      </c>
      <c r="O24" s="107"/>
      <c r="P24" s="107"/>
      <c r="Q24" s="107"/>
      <c r="R24" s="107"/>
      <c r="S24" s="107"/>
      <c r="T24" s="107"/>
      <c r="V24" s="114"/>
      <c r="W24" s="119"/>
      <c r="X24" s="119"/>
    </row>
    <row r="25" ht="12.75" customHeight="1">
      <c r="B25" s="107"/>
      <c r="C25" s="117" t="s">
        <v>229</v>
      </c>
      <c r="D25" s="109" t="s">
        <v>218</v>
      </c>
      <c r="E25" s="110">
        <v>1.0</v>
      </c>
      <c r="F25" s="110" t="s">
        <v>202</v>
      </c>
      <c r="G25" s="107" t="s">
        <v>203</v>
      </c>
      <c r="H25" s="107" t="s">
        <v>204</v>
      </c>
      <c r="I25" s="111" t="s">
        <v>205</v>
      </c>
      <c r="J25" s="111" t="s">
        <v>202</v>
      </c>
      <c r="K25" s="107"/>
      <c r="L25" s="107"/>
      <c r="M25" s="107"/>
      <c r="N25" s="111" t="s">
        <v>206</v>
      </c>
      <c r="O25" s="107"/>
      <c r="P25" s="107"/>
      <c r="Q25" s="107"/>
      <c r="R25" s="107"/>
      <c r="S25" s="107"/>
      <c r="T25" s="107"/>
      <c r="V25" s="114"/>
      <c r="W25" s="119"/>
      <c r="X25" s="119"/>
    </row>
    <row r="26" ht="12.75" customHeight="1">
      <c r="B26" s="107"/>
      <c r="C26" s="117" t="s">
        <v>230</v>
      </c>
      <c r="D26" s="109" t="s">
        <v>218</v>
      </c>
      <c r="E26" s="110">
        <v>1.0</v>
      </c>
      <c r="F26" s="110" t="s">
        <v>202</v>
      </c>
      <c r="G26" s="107" t="s">
        <v>203</v>
      </c>
      <c r="H26" s="107" t="s">
        <v>204</v>
      </c>
      <c r="I26" s="111" t="s">
        <v>205</v>
      </c>
      <c r="J26" s="111" t="s">
        <v>202</v>
      </c>
      <c r="K26" s="107"/>
      <c r="L26" s="107"/>
      <c r="M26" s="107"/>
      <c r="N26" s="111" t="s">
        <v>206</v>
      </c>
      <c r="O26" s="107"/>
      <c r="P26" s="107"/>
      <c r="Q26" s="107"/>
      <c r="R26" s="107"/>
      <c r="S26" s="107"/>
      <c r="T26" s="107"/>
      <c r="V26" s="114"/>
      <c r="W26" s="119"/>
      <c r="X26" s="119"/>
    </row>
    <row r="27" ht="12.75" customHeight="1">
      <c r="B27" s="107"/>
      <c r="C27" s="117" t="s">
        <v>231</v>
      </c>
      <c r="D27" s="109" t="s">
        <v>218</v>
      </c>
      <c r="E27" s="110">
        <v>1.0</v>
      </c>
      <c r="F27" s="110" t="s">
        <v>202</v>
      </c>
      <c r="G27" s="107" t="s">
        <v>203</v>
      </c>
      <c r="H27" s="107" t="s">
        <v>204</v>
      </c>
      <c r="I27" s="111" t="s">
        <v>205</v>
      </c>
      <c r="J27" s="111" t="s">
        <v>202</v>
      </c>
      <c r="K27" s="107"/>
      <c r="L27" s="107"/>
      <c r="M27" s="107"/>
      <c r="N27" s="111" t="s">
        <v>206</v>
      </c>
      <c r="O27" s="107"/>
      <c r="P27" s="107"/>
      <c r="Q27" s="107"/>
      <c r="R27" s="107"/>
      <c r="S27" s="107"/>
      <c r="T27" s="107"/>
      <c r="V27" s="114"/>
      <c r="W27" s="119"/>
      <c r="X27" s="119"/>
    </row>
    <row r="28" ht="12.75" customHeight="1">
      <c r="B28" s="107"/>
      <c r="C28" s="111" t="s">
        <v>232</v>
      </c>
      <c r="D28" s="109" t="s">
        <v>218</v>
      </c>
      <c r="E28" s="110">
        <v>1.0</v>
      </c>
      <c r="F28" s="110" t="s">
        <v>202</v>
      </c>
      <c r="G28" s="107" t="s">
        <v>203</v>
      </c>
      <c r="H28" s="107" t="s">
        <v>204</v>
      </c>
      <c r="I28" s="111" t="s">
        <v>205</v>
      </c>
      <c r="J28" s="111" t="s">
        <v>202</v>
      </c>
      <c r="K28" s="107"/>
      <c r="L28" s="107"/>
      <c r="M28" s="107"/>
      <c r="N28" s="111" t="s">
        <v>206</v>
      </c>
      <c r="O28" s="107"/>
      <c r="P28" s="107"/>
      <c r="Q28" s="107"/>
      <c r="R28" s="107"/>
      <c r="S28" s="107"/>
      <c r="T28" s="107"/>
      <c r="V28" s="114"/>
      <c r="W28" s="119"/>
      <c r="X28" s="119"/>
    </row>
    <row r="29" ht="12.75" customHeight="1">
      <c r="B29" s="107"/>
      <c r="C29" s="117" t="s">
        <v>233</v>
      </c>
      <c r="D29" s="109" t="s">
        <v>218</v>
      </c>
      <c r="E29" s="110">
        <v>1.0</v>
      </c>
      <c r="F29" s="110" t="s">
        <v>202</v>
      </c>
      <c r="G29" s="107" t="s">
        <v>203</v>
      </c>
      <c r="H29" s="107" t="s">
        <v>204</v>
      </c>
      <c r="I29" s="111" t="s">
        <v>205</v>
      </c>
      <c r="J29" s="111" t="s">
        <v>202</v>
      </c>
      <c r="K29" s="107"/>
      <c r="L29" s="107"/>
      <c r="M29" s="107"/>
      <c r="N29" s="111" t="s">
        <v>206</v>
      </c>
      <c r="O29" s="107"/>
      <c r="P29" s="107"/>
      <c r="Q29" s="107"/>
      <c r="R29" s="107"/>
      <c r="S29" s="107"/>
      <c r="T29" s="107"/>
      <c r="V29" s="114"/>
      <c r="W29" s="119"/>
      <c r="X29" s="119"/>
    </row>
    <row r="30" ht="12.75" customHeight="1">
      <c r="B30" s="107"/>
      <c r="C30" s="117" t="s">
        <v>234</v>
      </c>
      <c r="D30" s="109" t="s">
        <v>201</v>
      </c>
      <c r="E30" s="110" t="s">
        <v>235</v>
      </c>
      <c r="F30" s="110" t="s">
        <v>236</v>
      </c>
      <c r="G30" s="107" t="s">
        <v>237</v>
      </c>
      <c r="H30" s="107" t="s">
        <v>238</v>
      </c>
      <c r="I30" s="111" t="s">
        <v>239</v>
      </c>
      <c r="J30" s="111" t="s">
        <v>236</v>
      </c>
      <c r="K30" s="107"/>
      <c r="L30" s="107"/>
      <c r="M30" s="107"/>
      <c r="N30" s="111" t="s">
        <v>206</v>
      </c>
      <c r="O30" s="107"/>
      <c r="P30" s="107"/>
      <c r="Q30" s="107"/>
      <c r="R30" s="107"/>
      <c r="S30" s="107"/>
      <c r="T30" s="107"/>
      <c r="V30" s="112"/>
      <c r="W30" s="119"/>
      <c r="X30" s="119"/>
    </row>
    <row r="31" ht="12.75" customHeight="1">
      <c r="B31" s="107"/>
      <c r="C31" s="120" t="s">
        <v>240</v>
      </c>
      <c r="D31" s="109" t="s">
        <v>201</v>
      </c>
      <c r="E31" s="110" t="s">
        <v>235</v>
      </c>
      <c r="F31" s="110"/>
      <c r="G31" s="107" t="s">
        <v>237</v>
      </c>
      <c r="H31" s="107" t="s">
        <v>238</v>
      </c>
      <c r="I31" s="111" t="s">
        <v>239</v>
      </c>
      <c r="J31" s="111"/>
      <c r="K31" s="107"/>
      <c r="L31" s="107"/>
      <c r="M31" s="107"/>
      <c r="N31" s="111" t="s">
        <v>206</v>
      </c>
      <c r="O31" s="107"/>
      <c r="P31" s="107"/>
      <c r="Q31" s="107"/>
      <c r="R31" s="107"/>
      <c r="S31" s="107"/>
      <c r="T31" s="107"/>
      <c r="V31" s="112"/>
      <c r="W31" s="119"/>
      <c r="X31" s="119"/>
    </row>
    <row r="32" ht="12.75" customHeight="1">
      <c r="B32" s="107"/>
      <c r="C32" s="120" t="s">
        <v>241</v>
      </c>
      <c r="D32" s="109" t="s">
        <v>201</v>
      </c>
      <c r="E32" s="110">
        <v>1.0</v>
      </c>
      <c r="F32" s="110"/>
      <c r="G32" s="111" t="s">
        <v>242</v>
      </c>
      <c r="H32" s="111" t="s">
        <v>238</v>
      </c>
      <c r="I32" s="111" t="s">
        <v>239</v>
      </c>
      <c r="J32" s="111"/>
      <c r="K32" s="107"/>
      <c r="L32" s="107"/>
      <c r="M32" s="107"/>
      <c r="N32" s="111" t="s">
        <v>206</v>
      </c>
      <c r="O32" s="107"/>
      <c r="P32" s="107"/>
      <c r="Q32" s="107"/>
      <c r="R32" s="107"/>
      <c r="S32" s="107"/>
      <c r="T32" s="107"/>
      <c r="V32" s="112"/>
      <c r="W32" s="119"/>
      <c r="X32" s="119"/>
    </row>
    <row r="33" ht="12.75" customHeight="1">
      <c r="B33" s="107">
        <v>2.0</v>
      </c>
      <c r="C33" s="108" t="s">
        <v>243</v>
      </c>
      <c r="D33" s="109"/>
      <c r="E33" s="110"/>
      <c r="F33" s="110" t="s">
        <v>202</v>
      </c>
      <c r="G33" s="111" t="s">
        <v>244</v>
      </c>
      <c r="H33" s="107" t="s">
        <v>245</v>
      </c>
      <c r="I33" s="111" t="s">
        <v>246</v>
      </c>
      <c r="J33" s="111" t="s">
        <v>202</v>
      </c>
      <c r="K33" s="107"/>
      <c r="L33" s="107"/>
      <c r="M33" s="107"/>
      <c r="N33" s="111" t="s">
        <v>206</v>
      </c>
      <c r="O33" s="107"/>
      <c r="P33" s="107"/>
      <c r="Q33" s="107"/>
      <c r="R33" s="107"/>
      <c r="S33" s="107"/>
      <c r="T33" s="107"/>
      <c r="V33" s="114"/>
      <c r="W33" s="119"/>
      <c r="X33" s="119"/>
    </row>
    <row r="34" ht="12.75" customHeight="1">
      <c r="B34" s="107"/>
      <c r="C34" s="111" t="s">
        <v>247</v>
      </c>
      <c r="D34" s="109" t="s">
        <v>248</v>
      </c>
      <c r="E34" s="110">
        <v>2.0</v>
      </c>
      <c r="F34" s="110"/>
      <c r="G34" s="111" t="s">
        <v>244</v>
      </c>
      <c r="H34" s="107" t="s">
        <v>245</v>
      </c>
      <c r="I34" s="111" t="s">
        <v>246</v>
      </c>
      <c r="J34" s="107"/>
      <c r="K34" s="107"/>
      <c r="L34" s="107"/>
      <c r="M34" s="107"/>
      <c r="N34" s="111" t="s">
        <v>206</v>
      </c>
      <c r="O34" s="107"/>
      <c r="P34" s="107"/>
      <c r="Q34" s="107"/>
      <c r="R34" s="107"/>
      <c r="S34" s="107"/>
      <c r="T34" s="107"/>
      <c r="V34" s="112"/>
      <c r="W34" s="119"/>
      <c r="X34" s="119"/>
    </row>
    <row r="35" ht="12.75" customHeight="1">
      <c r="B35" s="107"/>
      <c r="C35" s="111" t="s">
        <v>249</v>
      </c>
      <c r="D35" s="109" t="s">
        <v>250</v>
      </c>
      <c r="E35" s="110">
        <v>2.0</v>
      </c>
      <c r="F35" s="110"/>
      <c r="G35" s="111" t="s">
        <v>244</v>
      </c>
      <c r="H35" s="107" t="s">
        <v>245</v>
      </c>
      <c r="I35" s="111" t="s">
        <v>246</v>
      </c>
      <c r="J35" s="107"/>
      <c r="K35" s="107"/>
      <c r="L35" s="107"/>
      <c r="M35" s="107"/>
      <c r="N35" s="111" t="s">
        <v>206</v>
      </c>
      <c r="O35" s="107"/>
      <c r="P35" s="107"/>
      <c r="Q35" s="107"/>
      <c r="R35" s="107"/>
      <c r="S35" s="107"/>
      <c r="T35" s="107"/>
      <c r="V35" s="114"/>
      <c r="W35" s="119"/>
      <c r="X35" s="119"/>
    </row>
    <row r="36" ht="12.75" customHeight="1">
      <c r="B36" s="107"/>
      <c r="C36" s="107" t="s">
        <v>251</v>
      </c>
      <c r="D36" s="109" t="s">
        <v>252</v>
      </c>
      <c r="E36" s="110">
        <v>2.0</v>
      </c>
      <c r="F36" s="110"/>
      <c r="G36" s="111" t="s">
        <v>244</v>
      </c>
      <c r="H36" s="107" t="s">
        <v>245</v>
      </c>
      <c r="I36" s="111" t="s">
        <v>246</v>
      </c>
      <c r="J36" s="107"/>
      <c r="K36" s="107"/>
      <c r="L36" s="107"/>
      <c r="M36" s="107"/>
      <c r="N36" s="111" t="s">
        <v>206</v>
      </c>
      <c r="O36" s="107"/>
      <c r="P36" s="107"/>
      <c r="Q36" s="107"/>
      <c r="R36" s="107"/>
      <c r="S36" s="107"/>
      <c r="T36" s="107"/>
      <c r="V36" s="112"/>
      <c r="W36" s="119"/>
      <c r="X36" s="119"/>
    </row>
    <row r="37" ht="12.75" customHeight="1">
      <c r="B37" s="107"/>
      <c r="C37" s="117" t="s">
        <v>253</v>
      </c>
      <c r="D37" s="109"/>
      <c r="E37" s="110">
        <v>2.0</v>
      </c>
      <c r="F37" s="110"/>
      <c r="G37" s="111" t="s">
        <v>244</v>
      </c>
      <c r="H37" s="107" t="s">
        <v>245</v>
      </c>
      <c r="I37" s="111" t="s">
        <v>246</v>
      </c>
      <c r="J37" s="107"/>
      <c r="K37" s="107"/>
      <c r="L37" s="107"/>
      <c r="M37" s="107"/>
      <c r="N37" s="111" t="s">
        <v>206</v>
      </c>
      <c r="O37" s="107"/>
      <c r="P37" s="107"/>
      <c r="Q37" s="107"/>
      <c r="R37" s="107"/>
      <c r="S37" s="107"/>
      <c r="T37" s="107"/>
      <c r="V37" s="114"/>
      <c r="W37" s="119"/>
      <c r="X37" s="119"/>
    </row>
    <row r="38" ht="12.75" customHeight="1">
      <c r="B38" s="107"/>
      <c r="C38" s="117" t="s">
        <v>254</v>
      </c>
      <c r="D38" s="109"/>
      <c r="E38" s="110">
        <v>2.0</v>
      </c>
      <c r="F38" s="110"/>
      <c r="G38" s="111" t="s">
        <v>244</v>
      </c>
      <c r="H38" s="107" t="s">
        <v>245</v>
      </c>
      <c r="I38" s="111" t="s">
        <v>246</v>
      </c>
      <c r="J38" s="107"/>
      <c r="K38" s="107"/>
      <c r="L38" s="107"/>
      <c r="M38" s="107"/>
      <c r="N38" s="111" t="s">
        <v>206</v>
      </c>
      <c r="O38" s="107"/>
      <c r="P38" s="107"/>
      <c r="Q38" s="107"/>
      <c r="R38" s="107"/>
      <c r="S38" s="107"/>
      <c r="T38" s="107"/>
      <c r="V38" s="112"/>
      <c r="W38" s="119"/>
      <c r="X38" s="119"/>
    </row>
    <row r="39" ht="12.75" customHeight="1">
      <c r="B39" s="107"/>
      <c r="C39" s="117" t="s">
        <v>255</v>
      </c>
      <c r="D39" s="109"/>
      <c r="E39" s="110">
        <v>2.0</v>
      </c>
      <c r="F39" s="110"/>
      <c r="G39" s="111" t="s">
        <v>244</v>
      </c>
      <c r="H39" s="107" t="s">
        <v>245</v>
      </c>
      <c r="I39" s="111" t="s">
        <v>246</v>
      </c>
      <c r="J39" s="107"/>
      <c r="K39" s="107"/>
      <c r="L39" s="107"/>
      <c r="M39" s="107"/>
      <c r="N39" s="111" t="s">
        <v>206</v>
      </c>
      <c r="O39" s="107"/>
      <c r="P39" s="107"/>
      <c r="Q39" s="107"/>
      <c r="R39" s="107"/>
      <c r="S39" s="107"/>
      <c r="T39" s="107"/>
      <c r="W39" s="119"/>
      <c r="X39" s="119"/>
    </row>
    <row r="40" ht="12.75" customHeight="1">
      <c r="B40" s="107"/>
      <c r="C40" s="117" t="s">
        <v>256</v>
      </c>
      <c r="D40" s="109"/>
      <c r="E40" s="110">
        <v>2.0</v>
      </c>
      <c r="F40" s="110"/>
      <c r="G40" s="111" t="s">
        <v>244</v>
      </c>
      <c r="H40" s="107" t="s">
        <v>245</v>
      </c>
      <c r="I40" s="111" t="s">
        <v>246</v>
      </c>
      <c r="J40" s="107"/>
      <c r="K40" s="107"/>
      <c r="L40" s="107"/>
      <c r="M40" s="107"/>
      <c r="N40" s="111" t="s">
        <v>206</v>
      </c>
      <c r="O40" s="107"/>
      <c r="P40" s="107"/>
      <c r="Q40" s="107"/>
      <c r="R40" s="107"/>
      <c r="S40" s="107"/>
      <c r="T40" s="107"/>
      <c r="W40" s="119"/>
      <c r="X40" s="119"/>
    </row>
    <row r="41" ht="12.75" customHeight="1">
      <c r="B41" s="107"/>
      <c r="C41" s="107" t="s">
        <v>257</v>
      </c>
      <c r="D41" s="109"/>
      <c r="E41" s="110">
        <v>2.0</v>
      </c>
      <c r="F41" s="110"/>
      <c r="G41" s="111" t="s">
        <v>244</v>
      </c>
      <c r="H41" s="107" t="s">
        <v>245</v>
      </c>
      <c r="I41" s="111" t="s">
        <v>246</v>
      </c>
      <c r="J41" s="107"/>
      <c r="K41" s="107"/>
      <c r="L41" s="107"/>
      <c r="M41" s="107"/>
      <c r="N41" s="111" t="s">
        <v>206</v>
      </c>
      <c r="O41" s="107"/>
      <c r="P41" s="107"/>
      <c r="Q41" s="107"/>
      <c r="R41" s="107"/>
      <c r="S41" s="107"/>
      <c r="T41" s="107"/>
      <c r="W41" s="119"/>
      <c r="X41" s="119"/>
    </row>
    <row r="42" ht="12.75" customHeight="1">
      <c r="B42" s="107"/>
      <c r="C42" s="107" t="s">
        <v>258</v>
      </c>
      <c r="D42" s="109"/>
      <c r="E42" s="110">
        <v>2.0</v>
      </c>
      <c r="F42" s="110"/>
      <c r="G42" s="111" t="s">
        <v>244</v>
      </c>
      <c r="H42" s="107" t="s">
        <v>245</v>
      </c>
      <c r="I42" s="111" t="s">
        <v>246</v>
      </c>
      <c r="J42" s="107"/>
      <c r="K42" s="107"/>
      <c r="L42" s="107"/>
      <c r="M42" s="107"/>
      <c r="N42" s="111" t="s">
        <v>206</v>
      </c>
      <c r="O42" s="107"/>
      <c r="P42" s="107"/>
      <c r="Q42" s="107"/>
      <c r="R42" s="107"/>
      <c r="S42" s="107"/>
      <c r="T42" s="107"/>
    </row>
    <row r="43" ht="12.75" customHeight="1">
      <c r="B43" s="107"/>
      <c r="C43" s="107" t="s">
        <v>259</v>
      </c>
      <c r="D43" s="109"/>
      <c r="E43" s="110">
        <v>2.0</v>
      </c>
      <c r="F43" s="110"/>
      <c r="G43" s="111" t="s">
        <v>244</v>
      </c>
      <c r="H43" s="107" t="s">
        <v>245</v>
      </c>
      <c r="I43" s="111" t="s">
        <v>246</v>
      </c>
      <c r="J43" s="107"/>
      <c r="K43" s="107"/>
      <c r="L43" s="107"/>
      <c r="M43" s="107"/>
      <c r="N43" s="111" t="s">
        <v>206</v>
      </c>
      <c r="O43" s="107"/>
      <c r="P43" s="107"/>
      <c r="Q43" s="107"/>
      <c r="R43" s="107"/>
      <c r="S43" s="107"/>
      <c r="T43" s="107"/>
    </row>
    <row r="44" ht="12.75" customHeight="1">
      <c r="B44" s="107"/>
      <c r="C44" s="107" t="s">
        <v>260</v>
      </c>
      <c r="D44" s="109"/>
      <c r="E44" s="110">
        <v>2.0</v>
      </c>
      <c r="F44" s="110"/>
      <c r="G44" s="111" t="s">
        <v>244</v>
      </c>
      <c r="H44" s="107" t="s">
        <v>245</v>
      </c>
      <c r="I44" s="111" t="s">
        <v>246</v>
      </c>
      <c r="J44" s="107"/>
      <c r="K44" s="107"/>
      <c r="L44" s="107"/>
      <c r="M44" s="107"/>
      <c r="N44" s="111" t="s">
        <v>206</v>
      </c>
      <c r="O44" s="107"/>
      <c r="P44" s="107"/>
      <c r="Q44" s="107"/>
      <c r="R44" s="107"/>
      <c r="S44" s="107"/>
      <c r="T44" s="107"/>
    </row>
    <row r="45" ht="12.75" customHeight="1">
      <c r="B45" s="107"/>
      <c r="C45" s="117" t="s">
        <v>261</v>
      </c>
      <c r="D45" s="109"/>
      <c r="E45" s="110">
        <v>2.0</v>
      </c>
      <c r="F45" s="110"/>
      <c r="G45" s="111" t="s">
        <v>244</v>
      </c>
      <c r="H45" s="107" t="s">
        <v>245</v>
      </c>
      <c r="I45" s="111" t="s">
        <v>246</v>
      </c>
      <c r="J45" s="107"/>
      <c r="K45" s="107"/>
      <c r="L45" s="107"/>
      <c r="M45" s="107"/>
      <c r="N45" s="111" t="s">
        <v>206</v>
      </c>
      <c r="O45" s="107"/>
      <c r="P45" s="107"/>
      <c r="Q45" s="107"/>
      <c r="R45" s="107"/>
      <c r="S45" s="107"/>
      <c r="T45" s="107"/>
    </row>
    <row r="46" ht="12.75" customHeight="1">
      <c r="B46" s="107"/>
      <c r="C46" s="117" t="s">
        <v>262</v>
      </c>
      <c r="D46" s="109" t="s">
        <v>263</v>
      </c>
      <c r="E46" s="110">
        <v>2.0</v>
      </c>
      <c r="F46" s="110"/>
      <c r="G46" s="111" t="s">
        <v>244</v>
      </c>
      <c r="H46" s="107" t="s">
        <v>245</v>
      </c>
      <c r="I46" s="111" t="s">
        <v>246</v>
      </c>
      <c r="J46" s="107"/>
      <c r="K46" s="107"/>
      <c r="L46" s="107"/>
      <c r="M46" s="107"/>
      <c r="N46" s="111" t="s">
        <v>206</v>
      </c>
      <c r="O46" s="107"/>
      <c r="P46" s="107"/>
      <c r="Q46" s="107"/>
      <c r="R46" s="107"/>
      <c r="S46" s="107"/>
      <c r="T46" s="107"/>
    </row>
    <row r="47" ht="12.75" customHeight="1">
      <c r="B47" s="107"/>
      <c r="C47" s="107" t="s">
        <v>264</v>
      </c>
      <c r="D47" s="109"/>
      <c r="E47" s="110">
        <v>2.0</v>
      </c>
      <c r="F47" s="110"/>
      <c r="G47" s="111" t="s">
        <v>244</v>
      </c>
      <c r="H47" s="107" t="s">
        <v>245</v>
      </c>
      <c r="I47" s="111" t="s">
        <v>246</v>
      </c>
      <c r="J47" s="107"/>
      <c r="K47" s="107"/>
      <c r="L47" s="107"/>
      <c r="M47" s="107"/>
      <c r="N47" s="111" t="s">
        <v>206</v>
      </c>
      <c r="O47" s="107"/>
      <c r="P47" s="107"/>
      <c r="Q47" s="107"/>
      <c r="R47" s="107"/>
      <c r="S47" s="107"/>
      <c r="T47" s="107"/>
    </row>
    <row r="48" ht="12.75" customHeight="1">
      <c r="B48" s="107"/>
      <c r="C48" s="107" t="s">
        <v>265</v>
      </c>
      <c r="D48" s="109"/>
      <c r="E48" s="110">
        <v>2.0</v>
      </c>
      <c r="F48" s="110"/>
      <c r="G48" s="111" t="s">
        <v>244</v>
      </c>
      <c r="H48" s="107" t="s">
        <v>245</v>
      </c>
      <c r="I48" s="111" t="s">
        <v>246</v>
      </c>
      <c r="J48" s="107"/>
      <c r="K48" s="107"/>
      <c r="L48" s="107"/>
      <c r="M48" s="107"/>
      <c r="N48" s="111" t="s">
        <v>206</v>
      </c>
      <c r="O48" s="107"/>
      <c r="P48" s="107"/>
      <c r="Q48" s="107"/>
      <c r="R48" s="107"/>
      <c r="S48" s="107"/>
      <c r="T48" s="107"/>
    </row>
    <row r="49" ht="12.75" customHeight="1">
      <c r="B49" s="107"/>
      <c r="C49" s="107" t="s">
        <v>266</v>
      </c>
      <c r="D49" s="109"/>
      <c r="E49" s="110">
        <v>2.0</v>
      </c>
      <c r="F49" s="110"/>
      <c r="G49" s="111" t="s">
        <v>244</v>
      </c>
      <c r="H49" s="107" t="s">
        <v>245</v>
      </c>
      <c r="I49" s="111" t="s">
        <v>246</v>
      </c>
      <c r="J49" s="107"/>
      <c r="K49" s="107"/>
      <c r="L49" s="107"/>
      <c r="M49" s="107"/>
      <c r="N49" s="111" t="s">
        <v>206</v>
      </c>
      <c r="O49" s="107"/>
      <c r="P49" s="107"/>
      <c r="Q49" s="107"/>
      <c r="R49" s="107"/>
      <c r="S49" s="107"/>
      <c r="T49" s="107"/>
    </row>
    <row r="50" ht="12.75" customHeight="1">
      <c r="B50" s="107"/>
      <c r="C50" s="107" t="s">
        <v>267</v>
      </c>
      <c r="D50" s="109"/>
      <c r="E50" s="110">
        <v>2.0</v>
      </c>
      <c r="F50" s="110"/>
      <c r="G50" s="111" t="s">
        <v>244</v>
      </c>
      <c r="H50" s="107" t="s">
        <v>245</v>
      </c>
      <c r="I50" s="111" t="s">
        <v>246</v>
      </c>
      <c r="J50" s="107"/>
      <c r="K50" s="107"/>
      <c r="L50" s="107"/>
      <c r="M50" s="107"/>
      <c r="N50" s="111" t="s">
        <v>206</v>
      </c>
      <c r="O50" s="107"/>
      <c r="P50" s="107"/>
      <c r="Q50" s="107"/>
      <c r="R50" s="107"/>
      <c r="S50" s="107"/>
      <c r="T50" s="107"/>
    </row>
    <row r="51" ht="12.75" customHeight="1">
      <c r="B51" s="107"/>
      <c r="C51" s="107" t="s">
        <v>268</v>
      </c>
      <c r="D51" s="109"/>
      <c r="E51" s="110">
        <v>2.0</v>
      </c>
      <c r="F51" s="110"/>
      <c r="G51" s="111" t="s">
        <v>244</v>
      </c>
      <c r="H51" s="107" t="s">
        <v>245</v>
      </c>
      <c r="I51" s="111" t="s">
        <v>246</v>
      </c>
      <c r="J51" s="107"/>
      <c r="K51" s="107"/>
      <c r="L51" s="107"/>
      <c r="M51" s="107"/>
      <c r="N51" s="111" t="s">
        <v>206</v>
      </c>
      <c r="O51" s="107"/>
      <c r="P51" s="107"/>
      <c r="Q51" s="107"/>
      <c r="R51" s="107"/>
      <c r="S51" s="107"/>
      <c r="T51" s="107"/>
    </row>
    <row r="52" ht="12.75" customHeight="1">
      <c r="B52" s="107"/>
      <c r="C52" s="107" t="s">
        <v>269</v>
      </c>
      <c r="D52" s="109"/>
      <c r="E52" s="110">
        <v>2.0</v>
      </c>
      <c r="F52" s="110"/>
      <c r="G52" s="111" t="s">
        <v>244</v>
      </c>
      <c r="H52" s="107" t="s">
        <v>245</v>
      </c>
      <c r="I52" s="111" t="s">
        <v>246</v>
      </c>
      <c r="J52" s="107"/>
      <c r="K52" s="107"/>
      <c r="L52" s="107"/>
      <c r="M52" s="107"/>
      <c r="N52" s="111" t="s">
        <v>206</v>
      </c>
      <c r="O52" s="107"/>
      <c r="P52" s="107"/>
      <c r="Q52" s="107"/>
      <c r="R52" s="107"/>
      <c r="S52" s="107"/>
      <c r="T52" s="107"/>
    </row>
    <row r="53" ht="12.75" customHeight="1">
      <c r="B53" s="107"/>
      <c r="C53" s="107" t="s">
        <v>270</v>
      </c>
      <c r="D53" s="109"/>
      <c r="E53" s="110">
        <v>2.0</v>
      </c>
      <c r="F53" s="110"/>
      <c r="G53" s="111" t="s">
        <v>244</v>
      </c>
      <c r="H53" s="107" t="s">
        <v>245</v>
      </c>
      <c r="I53" s="111" t="s">
        <v>246</v>
      </c>
      <c r="J53" s="107"/>
      <c r="K53" s="107"/>
      <c r="L53" s="107"/>
      <c r="M53" s="107"/>
      <c r="N53" s="111" t="s">
        <v>206</v>
      </c>
      <c r="O53" s="107"/>
      <c r="P53" s="107"/>
      <c r="Q53" s="107"/>
      <c r="R53" s="107"/>
      <c r="S53" s="107"/>
      <c r="T53" s="107"/>
    </row>
    <row r="54" ht="12.75" customHeight="1">
      <c r="B54" s="107"/>
      <c r="C54" s="107" t="s">
        <v>271</v>
      </c>
      <c r="D54" s="109"/>
      <c r="E54" s="110">
        <v>2.0</v>
      </c>
      <c r="F54" s="110"/>
      <c r="G54" s="111" t="s">
        <v>244</v>
      </c>
      <c r="H54" s="107" t="s">
        <v>245</v>
      </c>
      <c r="I54" s="111" t="s">
        <v>246</v>
      </c>
      <c r="J54" s="107"/>
      <c r="K54" s="107"/>
      <c r="L54" s="107"/>
      <c r="M54" s="107"/>
      <c r="N54" s="111" t="s">
        <v>206</v>
      </c>
      <c r="O54" s="107"/>
      <c r="P54" s="107"/>
      <c r="Q54" s="107"/>
      <c r="R54" s="107"/>
      <c r="S54" s="107"/>
      <c r="T54" s="107"/>
    </row>
    <row r="55" ht="12.75" customHeight="1">
      <c r="B55" s="107"/>
      <c r="C55" s="107" t="s">
        <v>272</v>
      </c>
      <c r="D55" s="109"/>
      <c r="E55" s="110">
        <v>2.0</v>
      </c>
      <c r="F55" s="110"/>
      <c r="G55" s="111" t="s">
        <v>244</v>
      </c>
      <c r="H55" s="107" t="s">
        <v>245</v>
      </c>
      <c r="I55" s="111" t="s">
        <v>246</v>
      </c>
      <c r="J55" s="107"/>
      <c r="K55" s="107"/>
      <c r="L55" s="107"/>
      <c r="M55" s="107"/>
      <c r="N55" s="111" t="s">
        <v>206</v>
      </c>
      <c r="O55" s="107"/>
      <c r="P55" s="107"/>
      <c r="Q55" s="107"/>
      <c r="R55" s="107"/>
      <c r="S55" s="107"/>
      <c r="T55" s="107"/>
    </row>
    <row r="56" ht="12.75" customHeight="1">
      <c r="B56" s="107"/>
      <c r="C56" s="107" t="s">
        <v>273</v>
      </c>
      <c r="D56" s="109"/>
      <c r="E56" s="110">
        <v>2.0</v>
      </c>
      <c r="F56" s="110"/>
      <c r="G56" s="111" t="s">
        <v>244</v>
      </c>
      <c r="H56" s="107" t="s">
        <v>245</v>
      </c>
      <c r="I56" s="111" t="s">
        <v>246</v>
      </c>
      <c r="J56" s="107"/>
      <c r="K56" s="107"/>
      <c r="L56" s="107"/>
      <c r="M56" s="107"/>
      <c r="N56" s="111" t="s">
        <v>206</v>
      </c>
      <c r="O56" s="107"/>
      <c r="P56" s="107"/>
      <c r="Q56" s="107"/>
      <c r="R56" s="107"/>
      <c r="S56" s="107"/>
      <c r="T56" s="107"/>
    </row>
    <row r="57" ht="12.75" customHeight="1">
      <c r="B57" s="107"/>
      <c r="C57" s="107" t="s">
        <v>274</v>
      </c>
      <c r="D57" s="109"/>
      <c r="E57" s="110">
        <v>2.0</v>
      </c>
      <c r="F57" s="110"/>
      <c r="G57" s="111" t="s">
        <v>244</v>
      </c>
      <c r="H57" s="107" t="s">
        <v>245</v>
      </c>
      <c r="I57" s="111" t="s">
        <v>246</v>
      </c>
      <c r="J57" s="107"/>
      <c r="K57" s="107"/>
      <c r="L57" s="107"/>
      <c r="M57" s="107"/>
      <c r="N57" s="111" t="s">
        <v>206</v>
      </c>
      <c r="O57" s="107"/>
      <c r="P57" s="107"/>
      <c r="Q57" s="107"/>
      <c r="R57" s="107"/>
      <c r="S57" s="107"/>
      <c r="T57" s="107"/>
    </row>
    <row r="58" ht="12.75" customHeight="1">
      <c r="B58" s="107"/>
      <c r="C58" s="107" t="s">
        <v>275</v>
      </c>
      <c r="D58" s="109"/>
      <c r="E58" s="110">
        <v>2.0</v>
      </c>
      <c r="F58" s="110"/>
      <c r="G58" s="111" t="s">
        <v>244</v>
      </c>
      <c r="H58" s="107" t="s">
        <v>245</v>
      </c>
      <c r="I58" s="111" t="s">
        <v>246</v>
      </c>
      <c r="J58" s="107"/>
      <c r="K58" s="107"/>
      <c r="L58" s="107"/>
      <c r="M58" s="107"/>
      <c r="N58" s="111" t="s">
        <v>206</v>
      </c>
      <c r="O58" s="107"/>
      <c r="P58" s="107"/>
      <c r="Q58" s="107"/>
      <c r="R58" s="107"/>
      <c r="S58" s="107"/>
      <c r="T58" s="107"/>
    </row>
    <row r="59" ht="12.75" customHeight="1">
      <c r="B59" s="107"/>
      <c r="C59" s="107" t="s">
        <v>276</v>
      </c>
      <c r="D59" s="109"/>
      <c r="E59" s="110">
        <v>2.0</v>
      </c>
      <c r="F59" s="110"/>
      <c r="G59" s="111" t="s">
        <v>244</v>
      </c>
      <c r="H59" s="107" t="s">
        <v>245</v>
      </c>
      <c r="I59" s="111" t="s">
        <v>246</v>
      </c>
      <c r="J59" s="107"/>
      <c r="K59" s="107"/>
      <c r="L59" s="107"/>
      <c r="M59" s="107"/>
      <c r="N59" s="111" t="s">
        <v>206</v>
      </c>
      <c r="O59" s="107"/>
      <c r="P59" s="107"/>
      <c r="Q59" s="107"/>
      <c r="R59" s="107"/>
      <c r="S59" s="107"/>
      <c r="T59" s="107"/>
    </row>
    <row r="60" ht="12.75" customHeight="1">
      <c r="B60" s="107"/>
      <c r="C60" s="107" t="s">
        <v>277</v>
      </c>
      <c r="D60" s="109"/>
      <c r="E60" s="110">
        <v>2.0</v>
      </c>
      <c r="F60" s="110"/>
      <c r="G60" s="111" t="s">
        <v>244</v>
      </c>
      <c r="H60" s="107" t="s">
        <v>245</v>
      </c>
      <c r="I60" s="111" t="s">
        <v>246</v>
      </c>
      <c r="J60" s="107"/>
      <c r="K60" s="107"/>
      <c r="L60" s="107"/>
      <c r="M60" s="107"/>
      <c r="N60" s="111" t="s">
        <v>206</v>
      </c>
      <c r="O60" s="107"/>
      <c r="P60" s="107"/>
      <c r="Q60" s="107"/>
      <c r="R60" s="107"/>
      <c r="S60" s="107"/>
      <c r="T60" s="107"/>
    </row>
    <row r="61" ht="12.75" customHeight="1">
      <c r="B61" s="107"/>
      <c r="C61" s="107" t="s">
        <v>278</v>
      </c>
      <c r="D61" s="109"/>
      <c r="E61" s="110">
        <v>2.0</v>
      </c>
      <c r="F61" s="110"/>
      <c r="G61" s="111" t="s">
        <v>244</v>
      </c>
      <c r="H61" s="107" t="s">
        <v>245</v>
      </c>
      <c r="I61" s="111" t="s">
        <v>246</v>
      </c>
      <c r="J61" s="107"/>
      <c r="K61" s="107"/>
      <c r="L61" s="107"/>
      <c r="M61" s="107"/>
      <c r="N61" s="111" t="s">
        <v>206</v>
      </c>
      <c r="O61" s="107"/>
      <c r="P61" s="107"/>
      <c r="Q61" s="107"/>
      <c r="R61" s="107"/>
      <c r="S61" s="107"/>
      <c r="T61" s="107"/>
    </row>
    <row r="62" ht="12.75" customHeight="1">
      <c r="B62" s="107"/>
      <c r="C62" s="107" t="s">
        <v>279</v>
      </c>
      <c r="D62" s="109"/>
      <c r="E62" s="110">
        <v>2.0</v>
      </c>
      <c r="F62" s="110"/>
      <c r="G62" s="111" t="s">
        <v>244</v>
      </c>
      <c r="H62" s="107" t="s">
        <v>245</v>
      </c>
      <c r="I62" s="111" t="s">
        <v>246</v>
      </c>
      <c r="J62" s="107"/>
      <c r="K62" s="107"/>
      <c r="L62" s="107"/>
      <c r="M62" s="107"/>
      <c r="N62" s="111" t="s">
        <v>206</v>
      </c>
      <c r="O62" s="107"/>
      <c r="P62" s="107"/>
      <c r="Q62" s="107"/>
      <c r="R62" s="107"/>
      <c r="S62" s="107"/>
      <c r="T62" s="107"/>
    </row>
    <row r="63" ht="12.75" customHeight="1">
      <c r="B63" s="107"/>
      <c r="C63" s="107" t="s">
        <v>280</v>
      </c>
      <c r="D63" s="109"/>
      <c r="E63" s="110">
        <v>2.0</v>
      </c>
      <c r="F63" s="110"/>
      <c r="G63" s="111" t="s">
        <v>244</v>
      </c>
      <c r="H63" s="107" t="s">
        <v>245</v>
      </c>
      <c r="I63" s="111" t="s">
        <v>246</v>
      </c>
      <c r="J63" s="107"/>
      <c r="K63" s="107"/>
      <c r="L63" s="107"/>
      <c r="M63" s="107"/>
      <c r="N63" s="111" t="s">
        <v>206</v>
      </c>
      <c r="O63" s="107"/>
      <c r="P63" s="107"/>
      <c r="Q63" s="107"/>
      <c r="R63" s="107"/>
      <c r="S63" s="107"/>
      <c r="T63" s="107"/>
    </row>
    <row r="64" ht="12.75" customHeight="1">
      <c r="B64" s="107"/>
      <c r="C64" s="107" t="s">
        <v>281</v>
      </c>
      <c r="D64" s="109"/>
      <c r="E64" s="110">
        <v>2.0</v>
      </c>
      <c r="F64" s="110"/>
      <c r="G64" s="111" t="s">
        <v>244</v>
      </c>
      <c r="H64" s="107" t="s">
        <v>245</v>
      </c>
      <c r="I64" s="111" t="s">
        <v>246</v>
      </c>
      <c r="J64" s="107"/>
      <c r="K64" s="107"/>
      <c r="L64" s="107"/>
      <c r="M64" s="107"/>
      <c r="N64" s="111" t="s">
        <v>206</v>
      </c>
      <c r="O64" s="107"/>
      <c r="P64" s="107"/>
      <c r="Q64" s="107"/>
      <c r="R64" s="107"/>
      <c r="S64" s="107"/>
      <c r="T64" s="107"/>
    </row>
    <row r="65" ht="12.75" customHeight="1">
      <c r="B65" s="107"/>
      <c r="C65" s="107" t="s">
        <v>282</v>
      </c>
      <c r="D65" s="109"/>
      <c r="E65" s="110">
        <v>2.0</v>
      </c>
      <c r="F65" s="110"/>
      <c r="G65" s="111" t="s">
        <v>244</v>
      </c>
      <c r="H65" s="107" t="s">
        <v>245</v>
      </c>
      <c r="I65" s="111" t="s">
        <v>246</v>
      </c>
      <c r="J65" s="107"/>
      <c r="K65" s="107"/>
      <c r="L65" s="107"/>
      <c r="M65" s="107"/>
      <c r="N65" s="111" t="s">
        <v>206</v>
      </c>
      <c r="O65" s="107"/>
      <c r="P65" s="107"/>
      <c r="Q65" s="107"/>
      <c r="R65" s="107"/>
      <c r="S65" s="107"/>
      <c r="T65" s="107"/>
    </row>
    <row r="66" ht="12.75" customHeight="1">
      <c r="B66" s="107"/>
      <c r="C66" s="107" t="s">
        <v>283</v>
      </c>
      <c r="D66" s="109"/>
      <c r="E66" s="110">
        <v>2.0</v>
      </c>
      <c r="F66" s="110"/>
      <c r="G66" s="111" t="s">
        <v>244</v>
      </c>
      <c r="H66" s="107" t="s">
        <v>245</v>
      </c>
      <c r="I66" s="111" t="s">
        <v>246</v>
      </c>
      <c r="J66" s="107"/>
      <c r="K66" s="107"/>
      <c r="L66" s="107"/>
      <c r="M66" s="107"/>
      <c r="N66" s="111" t="s">
        <v>206</v>
      </c>
      <c r="O66" s="107"/>
      <c r="P66" s="107"/>
      <c r="Q66" s="107"/>
      <c r="R66" s="107"/>
      <c r="S66" s="107"/>
      <c r="T66" s="107"/>
    </row>
    <row r="67" ht="12.75" customHeight="1">
      <c r="B67" s="107"/>
      <c r="C67" s="107" t="s">
        <v>284</v>
      </c>
      <c r="D67" s="109"/>
      <c r="E67" s="110">
        <v>2.0</v>
      </c>
      <c r="F67" s="110"/>
      <c r="G67" s="111" t="s">
        <v>244</v>
      </c>
      <c r="H67" s="107" t="s">
        <v>245</v>
      </c>
      <c r="I67" s="111" t="s">
        <v>246</v>
      </c>
      <c r="J67" s="107"/>
      <c r="K67" s="107"/>
      <c r="L67" s="107"/>
      <c r="M67" s="107"/>
      <c r="N67" s="111" t="s">
        <v>206</v>
      </c>
      <c r="O67" s="107"/>
      <c r="P67" s="107"/>
      <c r="Q67" s="107"/>
      <c r="R67" s="107"/>
      <c r="S67" s="107"/>
      <c r="T67" s="107"/>
    </row>
    <row r="68" ht="12.75" customHeight="1">
      <c r="B68" s="107"/>
      <c r="C68" s="107" t="s">
        <v>285</v>
      </c>
      <c r="D68" s="109"/>
      <c r="E68" s="110">
        <v>2.0</v>
      </c>
      <c r="F68" s="110"/>
      <c r="G68" s="111" t="s">
        <v>244</v>
      </c>
      <c r="H68" s="107" t="s">
        <v>245</v>
      </c>
      <c r="I68" s="111" t="s">
        <v>246</v>
      </c>
      <c r="J68" s="107"/>
      <c r="K68" s="107"/>
      <c r="L68" s="107"/>
      <c r="M68" s="107"/>
      <c r="N68" s="111" t="s">
        <v>206</v>
      </c>
      <c r="O68" s="107"/>
      <c r="P68" s="107"/>
      <c r="Q68" s="107"/>
      <c r="R68" s="107"/>
      <c r="S68" s="107"/>
      <c r="T68" s="107"/>
    </row>
    <row r="69" ht="12.75" customHeight="1">
      <c r="B69" s="107"/>
      <c r="C69" s="107" t="s">
        <v>286</v>
      </c>
      <c r="D69" s="109"/>
      <c r="E69" s="110">
        <v>2.0</v>
      </c>
      <c r="F69" s="110"/>
      <c r="G69" s="111" t="s">
        <v>244</v>
      </c>
      <c r="H69" s="107" t="s">
        <v>245</v>
      </c>
      <c r="I69" s="111" t="s">
        <v>246</v>
      </c>
      <c r="J69" s="107"/>
      <c r="K69" s="107"/>
      <c r="L69" s="107"/>
      <c r="M69" s="107"/>
      <c r="N69" s="111" t="s">
        <v>206</v>
      </c>
      <c r="O69" s="107"/>
      <c r="P69" s="107"/>
      <c r="Q69" s="107"/>
      <c r="R69" s="107"/>
      <c r="S69" s="107"/>
      <c r="T69" s="107"/>
    </row>
    <row r="70" ht="12.75" customHeight="1">
      <c r="B70" s="107"/>
      <c r="C70" s="107" t="s">
        <v>287</v>
      </c>
      <c r="D70" s="109"/>
      <c r="E70" s="110">
        <v>2.0</v>
      </c>
      <c r="F70" s="110"/>
      <c r="G70" s="111" t="s">
        <v>244</v>
      </c>
      <c r="H70" s="107" t="s">
        <v>245</v>
      </c>
      <c r="I70" s="111" t="s">
        <v>246</v>
      </c>
      <c r="J70" s="107"/>
      <c r="K70" s="107"/>
      <c r="L70" s="107"/>
      <c r="M70" s="107"/>
      <c r="N70" s="111" t="s">
        <v>206</v>
      </c>
      <c r="O70" s="107"/>
      <c r="P70" s="107"/>
      <c r="Q70" s="107"/>
      <c r="R70" s="107"/>
      <c r="S70" s="107"/>
      <c r="T70" s="107"/>
    </row>
    <row r="71" ht="12.75" customHeight="1">
      <c r="B71" s="107"/>
      <c r="C71" s="107" t="s">
        <v>288</v>
      </c>
      <c r="D71" s="109"/>
      <c r="E71" s="110">
        <v>2.0</v>
      </c>
      <c r="F71" s="110"/>
      <c r="G71" s="111" t="s">
        <v>244</v>
      </c>
      <c r="H71" s="107" t="s">
        <v>245</v>
      </c>
      <c r="I71" s="111" t="s">
        <v>246</v>
      </c>
      <c r="J71" s="107"/>
      <c r="K71" s="107"/>
      <c r="L71" s="107"/>
      <c r="M71" s="107"/>
      <c r="N71" s="111" t="s">
        <v>206</v>
      </c>
      <c r="O71" s="107"/>
      <c r="P71" s="107"/>
      <c r="Q71" s="107"/>
      <c r="R71" s="107"/>
      <c r="S71" s="107"/>
      <c r="T71" s="107"/>
    </row>
    <row r="72" ht="12.75" customHeight="1">
      <c r="B72" s="107"/>
      <c r="C72" s="107" t="s">
        <v>289</v>
      </c>
      <c r="D72" s="109"/>
      <c r="E72" s="110">
        <v>2.0</v>
      </c>
      <c r="F72" s="110"/>
      <c r="G72" s="111" t="s">
        <v>244</v>
      </c>
      <c r="H72" s="107" t="s">
        <v>245</v>
      </c>
      <c r="I72" s="111" t="s">
        <v>246</v>
      </c>
      <c r="J72" s="107"/>
      <c r="K72" s="107"/>
      <c r="L72" s="107"/>
      <c r="M72" s="107"/>
      <c r="N72" s="111" t="s">
        <v>206</v>
      </c>
      <c r="O72" s="107"/>
      <c r="P72" s="107"/>
      <c r="Q72" s="107"/>
      <c r="R72" s="107"/>
      <c r="S72" s="107"/>
      <c r="T72" s="107"/>
    </row>
    <row r="73" ht="12.75" customHeight="1">
      <c r="B73" s="107"/>
      <c r="C73" s="107" t="s">
        <v>290</v>
      </c>
      <c r="D73" s="109"/>
      <c r="E73" s="110">
        <v>2.0</v>
      </c>
      <c r="F73" s="110"/>
      <c r="G73" s="111" t="s">
        <v>244</v>
      </c>
      <c r="H73" s="107" t="s">
        <v>245</v>
      </c>
      <c r="I73" s="111" t="s">
        <v>246</v>
      </c>
      <c r="J73" s="107"/>
      <c r="K73" s="107"/>
      <c r="L73" s="107"/>
      <c r="M73" s="107"/>
      <c r="N73" s="111" t="s">
        <v>206</v>
      </c>
      <c r="O73" s="107"/>
      <c r="P73" s="107"/>
      <c r="Q73" s="107"/>
      <c r="R73" s="107"/>
      <c r="S73" s="107"/>
      <c r="T73" s="107"/>
    </row>
    <row r="74" ht="12.75" customHeight="1">
      <c r="B74" s="107"/>
      <c r="C74" s="107" t="s">
        <v>291</v>
      </c>
      <c r="D74" s="109"/>
      <c r="E74" s="110">
        <v>2.0</v>
      </c>
      <c r="F74" s="110"/>
      <c r="G74" s="111" t="s">
        <v>244</v>
      </c>
      <c r="H74" s="107" t="s">
        <v>245</v>
      </c>
      <c r="I74" s="111" t="s">
        <v>246</v>
      </c>
      <c r="J74" s="107"/>
      <c r="K74" s="107"/>
      <c r="L74" s="107"/>
      <c r="M74" s="107"/>
      <c r="N74" s="111" t="s">
        <v>206</v>
      </c>
      <c r="O74" s="107"/>
      <c r="P74" s="107"/>
      <c r="Q74" s="107"/>
      <c r="R74" s="107"/>
      <c r="S74" s="107"/>
      <c r="T74" s="107"/>
    </row>
    <row r="75" ht="12.75" customHeight="1">
      <c r="B75" s="107">
        <v>3.0</v>
      </c>
      <c r="C75" s="108" t="s">
        <v>292</v>
      </c>
      <c r="D75" s="109"/>
      <c r="E75" s="110">
        <v>1.0</v>
      </c>
      <c r="F75" s="110"/>
      <c r="G75" s="111" t="s">
        <v>293</v>
      </c>
      <c r="H75" s="111" t="s">
        <v>245</v>
      </c>
      <c r="I75" s="111" t="s">
        <v>246</v>
      </c>
      <c r="J75" s="107"/>
      <c r="K75" s="107"/>
      <c r="L75" s="107"/>
      <c r="M75" s="107"/>
      <c r="N75" s="111" t="s">
        <v>206</v>
      </c>
      <c r="O75" s="107"/>
      <c r="P75" s="107"/>
      <c r="Q75" s="107"/>
      <c r="R75" s="107"/>
      <c r="S75" s="107"/>
      <c r="T75" s="107"/>
    </row>
    <row r="76" ht="12.75" customHeight="1">
      <c r="B76" s="107"/>
      <c r="C76" s="107" t="s">
        <v>294</v>
      </c>
      <c r="D76" s="109"/>
      <c r="E76" s="110">
        <v>1.0</v>
      </c>
      <c r="F76" s="110"/>
      <c r="G76" s="111" t="s">
        <v>293</v>
      </c>
      <c r="H76" s="111" t="s">
        <v>245</v>
      </c>
      <c r="I76" s="111" t="s">
        <v>246</v>
      </c>
      <c r="J76" s="107"/>
      <c r="K76" s="107"/>
      <c r="L76" s="107"/>
      <c r="M76" s="107"/>
      <c r="N76" s="111" t="s">
        <v>206</v>
      </c>
      <c r="O76" s="107"/>
      <c r="P76" s="107"/>
      <c r="Q76" s="107"/>
      <c r="R76" s="107"/>
      <c r="S76" s="107"/>
      <c r="T76" s="107"/>
    </row>
    <row r="77" ht="12.75" customHeight="1">
      <c r="B77" s="107"/>
      <c r="C77" s="117" t="s">
        <v>295</v>
      </c>
      <c r="D77" s="109"/>
      <c r="E77" s="110">
        <v>1.0</v>
      </c>
      <c r="F77" s="110"/>
      <c r="G77" s="111" t="s">
        <v>293</v>
      </c>
      <c r="H77" s="111" t="s">
        <v>245</v>
      </c>
      <c r="I77" s="111" t="s">
        <v>246</v>
      </c>
      <c r="J77" s="107"/>
      <c r="K77" s="107"/>
      <c r="L77" s="107"/>
      <c r="M77" s="107"/>
      <c r="N77" s="111" t="s">
        <v>206</v>
      </c>
      <c r="O77" s="107"/>
      <c r="P77" s="107"/>
      <c r="Q77" s="107"/>
      <c r="R77" s="107"/>
      <c r="S77" s="107"/>
      <c r="T77" s="107"/>
    </row>
    <row r="78" ht="12.75" customHeight="1">
      <c r="B78" s="107"/>
      <c r="C78" s="117" t="s">
        <v>296</v>
      </c>
      <c r="D78" s="109"/>
      <c r="E78" s="110">
        <v>1.0</v>
      </c>
      <c r="F78" s="110"/>
      <c r="G78" s="111" t="s">
        <v>293</v>
      </c>
      <c r="H78" s="111" t="s">
        <v>245</v>
      </c>
      <c r="I78" s="111" t="s">
        <v>246</v>
      </c>
      <c r="J78" s="107"/>
      <c r="K78" s="107"/>
      <c r="L78" s="107"/>
      <c r="M78" s="107"/>
      <c r="N78" s="111" t="s">
        <v>206</v>
      </c>
      <c r="O78" s="107"/>
      <c r="P78" s="107"/>
      <c r="Q78" s="107"/>
      <c r="R78" s="107"/>
      <c r="S78" s="107"/>
      <c r="T78" s="107"/>
    </row>
    <row r="79" ht="12.75" customHeight="1">
      <c r="B79" s="107"/>
      <c r="C79" s="117" t="s">
        <v>297</v>
      </c>
      <c r="D79" s="109"/>
      <c r="E79" s="110">
        <v>1.0</v>
      </c>
      <c r="F79" s="110"/>
      <c r="G79" s="111" t="s">
        <v>293</v>
      </c>
      <c r="H79" s="111" t="s">
        <v>245</v>
      </c>
      <c r="I79" s="111" t="s">
        <v>246</v>
      </c>
      <c r="J79" s="107"/>
      <c r="K79" s="107"/>
      <c r="L79" s="107"/>
      <c r="M79" s="107"/>
      <c r="N79" s="111" t="s">
        <v>206</v>
      </c>
      <c r="O79" s="107"/>
      <c r="P79" s="107"/>
      <c r="Q79" s="107"/>
      <c r="R79" s="107"/>
      <c r="S79" s="107"/>
      <c r="T79" s="107"/>
    </row>
    <row r="80" ht="12.75" customHeight="1">
      <c r="B80" s="107"/>
      <c r="C80" s="107" t="s">
        <v>298</v>
      </c>
      <c r="D80" s="109"/>
      <c r="E80" s="110">
        <v>1.0</v>
      </c>
      <c r="F80" s="110"/>
      <c r="G80" s="111" t="s">
        <v>293</v>
      </c>
      <c r="H80" s="111" t="s">
        <v>245</v>
      </c>
      <c r="I80" s="111" t="s">
        <v>246</v>
      </c>
      <c r="J80" s="107"/>
      <c r="K80" s="107"/>
      <c r="L80" s="107"/>
      <c r="M80" s="107"/>
      <c r="N80" s="111" t="s">
        <v>206</v>
      </c>
      <c r="O80" s="107"/>
      <c r="P80" s="107"/>
      <c r="Q80" s="107"/>
      <c r="R80" s="107"/>
      <c r="S80" s="107"/>
      <c r="T80" s="107"/>
    </row>
    <row r="81" ht="12.75" customHeight="1">
      <c r="B81" s="107"/>
      <c r="C81" s="117" t="s">
        <v>299</v>
      </c>
      <c r="D81" s="109"/>
      <c r="E81" s="110">
        <v>1.0</v>
      </c>
      <c r="F81" s="110"/>
      <c r="G81" s="111" t="s">
        <v>293</v>
      </c>
      <c r="H81" s="111" t="s">
        <v>245</v>
      </c>
      <c r="I81" s="111" t="s">
        <v>246</v>
      </c>
      <c r="J81" s="107"/>
      <c r="K81" s="107"/>
      <c r="L81" s="107"/>
      <c r="M81" s="107"/>
      <c r="N81" s="111" t="s">
        <v>206</v>
      </c>
      <c r="O81" s="107"/>
      <c r="P81" s="107"/>
      <c r="Q81" s="107"/>
      <c r="R81" s="107"/>
      <c r="S81" s="107"/>
      <c r="T81" s="107"/>
    </row>
    <row r="82" ht="12.75" customHeight="1">
      <c r="B82" s="107"/>
      <c r="C82" s="117" t="s">
        <v>300</v>
      </c>
      <c r="D82" s="109"/>
      <c r="E82" s="110">
        <v>1.0</v>
      </c>
      <c r="F82" s="110"/>
      <c r="G82" s="111" t="s">
        <v>293</v>
      </c>
      <c r="H82" s="111" t="s">
        <v>245</v>
      </c>
      <c r="I82" s="111" t="s">
        <v>246</v>
      </c>
      <c r="J82" s="107"/>
      <c r="K82" s="107"/>
      <c r="L82" s="107"/>
      <c r="M82" s="107"/>
      <c r="N82" s="111" t="s">
        <v>206</v>
      </c>
      <c r="O82" s="107"/>
      <c r="P82" s="107"/>
      <c r="Q82" s="107"/>
      <c r="R82" s="107"/>
      <c r="S82" s="107"/>
      <c r="T82" s="107"/>
    </row>
    <row r="83" ht="12.75" customHeight="1">
      <c r="B83" s="107"/>
      <c r="C83" s="117" t="s">
        <v>301</v>
      </c>
      <c r="D83" s="109"/>
      <c r="E83" s="110">
        <v>1.0</v>
      </c>
      <c r="F83" s="110"/>
      <c r="G83" s="111" t="s">
        <v>293</v>
      </c>
      <c r="H83" s="111" t="s">
        <v>245</v>
      </c>
      <c r="I83" s="111" t="s">
        <v>246</v>
      </c>
      <c r="J83" s="107"/>
      <c r="K83" s="107"/>
      <c r="L83" s="107"/>
      <c r="M83" s="107"/>
      <c r="N83" s="111" t="s">
        <v>206</v>
      </c>
      <c r="O83" s="107"/>
      <c r="P83" s="107"/>
      <c r="Q83" s="107"/>
      <c r="R83" s="107"/>
      <c r="S83" s="107"/>
      <c r="T83" s="107"/>
    </row>
    <row r="84" ht="12.75" customHeight="1">
      <c r="B84" s="107"/>
      <c r="C84" s="117" t="s">
        <v>302</v>
      </c>
      <c r="D84" s="109"/>
      <c r="E84" s="110">
        <v>1.0</v>
      </c>
      <c r="F84" s="110"/>
      <c r="G84" s="111" t="s">
        <v>293</v>
      </c>
      <c r="H84" s="111" t="s">
        <v>245</v>
      </c>
      <c r="I84" s="111" t="s">
        <v>246</v>
      </c>
      <c r="J84" s="107"/>
      <c r="K84" s="107"/>
      <c r="L84" s="107"/>
      <c r="M84" s="107"/>
      <c r="N84" s="111" t="s">
        <v>206</v>
      </c>
      <c r="O84" s="107"/>
      <c r="P84" s="107"/>
      <c r="Q84" s="107"/>
      <c r="R84" s="107"/>
      <c r="S84" s="107"/>
      <c r="T84" s="107"/>
    </row>
    <row r="85" ht="12.75" customHeight="1">
      <c r="B85" s="107"/>
      <c r="C85" s="117" t="s">
        <v>303</v>
      </c>
      <c r="D85" s="109"/>
      <c r="E85" s="110">
        <v>1.0</v>
      </c>
      <c r="F85" s="110"/>
      <c r="G85" s="111" t="s">
        <v>293</v>
      </c>
      <c r="H85" s="111" t="s">
        <v>245</v>
      </c>
      <c r="I85" s="111" t="s">
        <v>246</v>
      </c>
      <c r="J85" s="107"/>
      <c r="K85" s="107"/>
      <c r="L85" s="107"/>
      <c r="M85" s="107"/>
      <c r="N85" s="111" t="s">
        <v>206</v>
      </c>
      <c r="O85" s="107"/>
      <c r="P85" s="107"/>
      <c r="Q85" s="107"/>
      <c r="R85" s="107"/>
      <c r="S85" s="107"/>
      <c r="T85" s="107"/>
    </row>
    <row r="86" ht="12.75" customHeight="1">
      <c r="B86" s="107"/>
      <c r="C86" s="117" t="s">
        <v>304</v>
      </c>
      <c r="D86" s="109"/>
      <c r="E86" s="110">
        <v>1.0</v>
      </c>
      <c r="F86" s="110"/>
      <c r="G86" s="111" t="s">
        <v>293</v>
      </c>
      <c r="H86" s="111" t="s">
        <v>245</v>
      </c>
      <c r="I86" s="111" t="s">
        <v>246</v>
      </c>
      <c r="J86" s="107"/>
      <c r="K86" s="107"/>
      <c r="L86" s="107"/>
      <c r="M86" s="107"/>
      <c r="N86" s="111" t="s">
        <v>206</v>
      </c>
      <c r="O86" s="107"/>
      <c r="P86" s="107"/>
      <c r="Q86" s="107"/>
      <c r="R86" s="107"/>
      <c r="S86" s="107"/>
      <c r="T86" s="107"/>
    </row>
    <row r="87" ht="12.75" customHeight="1">
      <c r="B87" s="107"/>
      <c r="C87" s="107" t="s">
        <v>305</v>
      </c>
      <c r="D87" s="109"/>
      <c r="E87" s="110">
        <v>1.0</v>
      </c>
      <c r="F87" s="110"/>
      <c r="G87" s="111" t="s">
        <v>293</v>
      </c>
      <c r="H87" s="111" t="s">
        <v>245</v>
      </c>
      <c r="I87" s="111" t="s">
        <v>246</v>
      </c>
      <c r="J87" s="107"/>
      <c r="K87" s="107"/>
      <c r="L87" s="107"/>
      <c r="M87" s="107"/>
      <c r="N87" s="111" t="s">
        <v>206</v>
      </c>
      <c r="O87" s="107"/>
      <c r="P87" s="107"/>
      <c r="Q87" s="107"/>
      <c r="R87" s="107"/>
      <c r="S87" s="107"/>
      <c r="T87" s="107"/>
    </row>
    <row r="88" ht="12.75" customHeight="1">
      <c r="B88" s="107"/>
      <c r="C88" s="117" t="s">
        <v>306</v>
      </c>
      <c r="D88" s="109"/>
      <c r="E88" s="110">
        <v>1.0</v>
      </c>
      <c r="F88" s="110"/>
      <c r="G88" s="111" t="s">
        <v>293</v>
      </c>
      <c r="H88" s="111" t="s">
        <v>245</v>
      </c>
      <c r="I88" s="111" t="s">
        <v>246</v>
      </c>
      <c r="J88" s="107"/>
      <c r="K88" s="107"/>
      <c r="L88" s="107"/>
      <c r="M88" s="107"/>
      <c r="N88" s="111" t="s">
        <v>206</v>
      </c>
      <c r="O88" s="107"/>
      <c r="P88" s="107"/>
      <c r="Q88" s="107"/>
      <c r="R88" s="107"/>
      <c r="S88" s="107"/>
      <c r="T88" s="107"/>
    </row>
    <row r="89" ht="12.75" customHeight="1">
      <c r="B89" s="107"/>
      <c r="C89" s="117" t="s">
        <v>307</v>
      </c>
      <c r="D89" s="109"/>
      <c r="E89" s="110">
        <v>1.0</v>
      </c>
      <c r="F89" s="110"/>
      <c r="G89" s="111" t="s">
        <v>293</v>
      </c>
      <c r="H89" s="111" t="s">
        <v>245</v>
      </c>
      <c r="I89" s="111" t="s">
        <v>246</v>
      </c>
      <c r="J89" s="107"/>
      <c r="K89" s="107"/>
      <c r="L89" s="107"/>
      <c r="M89" s="107"/>
      <c r="N89" s="111" t="s">
        <v>206</v>
      </c>
      <c r="O89" s="107"/>
      <c r="P89" s="107"/>
      <c r="Q89" s="107"/>
      <c r="R89" s="107"/>
      <c r="S89" s="107"/>
      <c r="T89" s="107"/>
    </row>
    <row r="90" ht="12.75" customHeight="1">
      <c r="B90" s="107"/>
      <c r="C90" s="117" t="s">
        <v>308</v>
      </c>
      <c r="D90" s="109"/>
      <c r="E90" s="110">
        <v>1.0</v>
      </c>
      <c r="F90" s="110"/>
      <c r="G90" s="111" t="s">
        <v>293</v>
      </c>
      <c r="H90" s="111" t="s">
        <v>245</v>
      </c>
      <c r="I90" s="111" t="s">
        <v>246</v>
      </c>
      <c r="J90" s="107"/>
      <c r="K90" s="107"/>
      <c r="L90" s="107"/>
      <c r="M90" s="107"/>
      <c r="N90" s="111" t="s">
        <v>206</v>
      </c>
      <c r="O90" s="107"/>
      <c r="P90" s="107"/>
      <c r="Q90" s="107"/>
      <c r="R90" s="107"/>
      <c r="S90" s="107"/>
      <c r="T90" s="107"/>
    </row>
    <row r="91" ht="12.75" customHeight="1">
      <c r="B91" s="107"/>
      <c r="C91" s="117" t="s">
        <v>309</v>
      </c>
      <c r="D91" s="109"/>
      <c r="E91" s="110">
        <v>1.0</v>
      </c>
      <c r="F91" s="110"/>
      <c r="G91" s="111" t="s">
        <v>293</v>
      </c>
      <c r="H91" s="111" t="s">
        <v>245</v>
      </c>
      <c r="I91" s="111" t="s">
        <v>246</v>
      </c>
      <c r="J91" s="107"/>
      <c r="K91" s="107"/>
      <c r="L91" s="107"/>
      <c r="M91" s="107"/>
      <c r="N91" s="111" t="s">
        <v>206</v>
      </c>
      <c r="O91" s="107"/>
      <c r="P91" s="107"/>
      <c r="Q91" s="107"/>
      <c r="R91" s="107"/>
      <c r="S91" s="107"/>
      <c r="T91" s="107"/>
    </row>
    <row r="92" ht="12.75" customHeight="1">
      <c r="B92" s="107"/>
      <c r="C92" s="107" t="s">
        <v>310</v>
      </c>
      <c r="D92" s="109"/>
      <c r="E92" s="110">
        <v>1.0</v>
      </c>
      <c r="F92" s="110"/>
      <c r="G92" s="111" t="s">
        <v>293</v>
      </c>
      <c r="H92" s="111" t="s">
        <v>245</v>
      </c>
      <c r="I92" s="111" t="s">
        <v>246</v>
      </c>
      <c r="J92" s="107"/>
      <c r="K92" s="107"/>
      <c r="L92" s="107"/>
      <c r="M92" s="107"/>
      <c r="N92" s="111" t="s">
        <v>206</v>
      </c>
      <c r="O92" s="107"/>
      <c r="P92" s="107"/>
      <c r="Q92" s="107"/>
      <c r="R92" s="107"/>
      <c r="S92" s="107"/>
      <c r="T92" s="107"/>
    </row>
    <row r="93" ht="12.75" customHeight="1">
      <c r="B93" s="107"/>
      <c r="C93" s="117" t="s">
        <v>311</v>
      </c>
      <c r="D93" s="109"/>
      <c r="E93" s="110">
        <v>1.0</v>
      </c>
      <c r="F93" s="110"/>
      <c r="G93" s="111" t="s">
        <v>293</v>
      </c>
      <c r="H93" s="111" t="s">
        <v>245</v>
      </c>
      <c r="I93" s="111" t="s">
        <v>246</v>
      </c>
      <c r="J93" s="107"/>
      <c r="K93" s="107"/>
      <c r="L93" s="107"/>
      <c r="M93" s="107"/>
      <c r="N93" s="111" t="s">
        <v>206</v>
      </c>
      <c r="O93" s="107"/>
      <c r="P93" s="107"/>
      <c r="Q93" s="107"/>
      <c r="R93" s="107"/>
      <c r="S93" s="107"/>
      <c r="T93" s="107"/>
    </row>
    <row r="94" ht="12.75" customHeight="1">
      <c r="B94" s="107"/>
      <c r="C94" s="117" t="s">
        <v>312</v>
      </c>
      <c r="D94" s="109"/>
      <c r="E94" s="110">
        <v>1.0</v>
      </c>
      <c r="F94" s="110"/>
      <c r="G94" s="111" t="s">
        <v>293</v>
      </c>
      <c r="H94" s="111" t="s">
        <v>245</v>
      </c>
      <c r="I94" s="111" t="s">
        <v>246</v>
      </c>
      <c r="J94" s="107"/>
      <c r="K94" s="107"/>
      <c r="L94" s="107"/>
      <c r="M94" s="107"/>
      <c r="N94" s="111" t="s">
        <v>206</v>
      </c>
      <c r="O94" s="107"/>
      <c r="P94" s="107"/>
      <c r="Q94" s="107"/>
      <c r="R94" s="107"/>
      <c r="S94" s="107"/>
      <c r="T94" s="107"/>
    </row>
    <row r="95" ht="12.75" customHeight="1">
      <c r="B95" s="107">
        <v>4.0</v>
      </c>
      <c r="C95" s="108" t="s">
        <v>313</v>
      </c>
      <c r="D95" s="109" t="s">
        <v>314</v>
      </c>
      <c r="E95" s="110" t="s">
        <v>315</v>
      </c>
      <c r="F95" s="110" t="s">
        <v>316</v>
      </c>
      <c r="G95" s="111" t="s">
        <v>317</v>
      </c>
      <c r="H95" s="111" t="s">
        <v>245</v>
      </c>
      <c r="I95" s="111" t="s">
        <v>246</v>
      </c>
      <c r="J95" s="107"/>
      <c r="K95" s="107"/>
      <c r="L95" s="107"/>
      <c r="M95" s="107"/>
      <c r="N95" s="111" t="s">
        <v>206</v>
      </c>
      <c r="O95" s="107"/>
      <c r="P95" s="107"/>
      <c r="Q95" s="107"/>
      <c r="R95" s="107"/>
      <c r="S95" s="107"/>
      <c r="T95" s="107"/>
    </row>
    <row r="96" ht="12.75" customHeight="1">
      <c r="B96" s="107"/>
      <c r="C96" s="107" t="s">
        <v>318</v>
      </c>
      <c r="D96" s="109"/>
      <c r="E96" s="110" t="s">
        <v>315</v>
      </c>
      <c r="F96" s="110" t="s">
        <v>316</v>
      </c>
      <c r="G96" s="111" t="s">
        <v>317</v>
      </c>
      <c r="H96" s="111" t="s">
        <v>245</v>
      </c>
      <c r="I96" s="111" t="s">
        <v>246</v>
      </c>
      <c r="J96" s="107"/>
      <c r="K96" s="107"/>
      <c r="L96" s="107"/>
      <c r="M96" s="107"/>
      <c r="N96" s="111" t="s">
        <v>206</v>
      </c>
      <c r="O96" s="107"/>
      <c r="P96" s="107"/>
      <c r="Q96" s="107"/>
      <c r="R96" s="107"/>
      <c r="S96" s="107"/>
      <c r="T96" s="107"/>
    </row>
    <row r="97" ht="12.75" customHeight="1">
      <c r="B97" s="107"/>
      <c r="C97" s="117" t="s">
        <v>319</v>
      </c>
      <c r="D97" s="109"/>
      <c r="E97" s="110" t="s">
        <v>315</v>
      </c>
      <c r="F97" s="110" t="s">
        <v>316</v>
      </c>
      <c r="G97" s="111" t="s">
        <v>317</v>
      </c>
      <c r="H97" s="111" t="s">
        <v>245</v>
      </c>
      <c r="I97" s="111" t="s">
        <v>246</v>
      </c>
      <c r="J97" s="107"/>
      <c r="K97" s="107"/>
      <c r="L97" s="107"/>
      <c r="M97" s="107"/>
      <c r="N97" s="111" t="s">
        <v>206</v>
      </c>
      <c r="O97" s="107"/>
      <c r="P97" s="107"/>
      <c r="Q97" s="107"/>
      <c r="R97" s="107"/>
      <c r="S97" s="107"/>
      <c r="T97" s="107"/>
    </row>
    <row r="98" ht="12.75" customHeight="1">
      <c r="B98" s="107"/>
      <c r="C98" s="117" t="s">
        <v>320</v>
      </c>
      <c r="D98" s="109"/>
      <c r="E98" s="110" t="s">
        <v>315</v>
      </c>
      <c r="F98" s="110" t="s">
        <v>316</v>
      </c>
      <c r="G98" s="111" t="s">
        <v>317</v>
      </c>
      <c r="H98" s="111" t="s">
        <v>245</v>
      </c>
      <c r="I98" s="111" t="s">
        <v>246</v>
      </c>
      <c r="J98" s="107"/>
      <c r="K98" s="107"/>
      <c r="L98" s="107"/>
      <c r="M98" s="107"/>
      <c r="N98" s="111" t="s">
        <v>206</v>
      </c>
      <c r="O98" s="107"/>
      <c r="P98" s="107"/>
      <c r="Q98" s="107"/>
      <c r="R98" s="107"/>
      <c r="S98" s="107"/>
      <c r="T98" s="107"/>
    </row>
    <row r="99" ht="12.75" customHeight="1">
      <c r="B99" s="107"/>
      <c r="C99" s="117" t="s">
        <v>321</v>
      </c>
      <c r="D99" s="109"/>
      <c r="E99" s="110" t="s">
        <v>315</v>
      </c>
      <c r="F99" s="110" t="s">
        <v>316</v>
      </c>
      <c r="G99" s="111" t="s">
        <v>317</v>
      </c>
      <c r="H99" s="111" t="s">
        <v>245</v>
      </c>
      <c r="I99" s="111" t="s">
        <v>246</v>
      </c>
      <c r="J99" s="107"/>
      <c r="K99" s="107"/>
      <c r="L99" s="107"/>
      <c r="M99" s="107"/>
      <c r="N99" s="111" t="s">
        <v>206</v>
      </c>
      <c r="O99" s="107"/>
      <c r="P99" s="107"/>
      <c r="Q99" s="107"/>
      <c r="R99" s="107"/>
      <c r="S99" s="107"/>
      <c r="T99" s="107"/>
    </row>
    <row r="100" ht="12.75" customHeight="1">
      <c r="B100" s="107"/>
      <c r="C100" s="117" t="s">
        <v>322</v>
      </c>
      <c r="D100" s="109"/>
      <c r="E100" s="110" t="s">
        <v>315</v>
      </c>
      <c r="F100" s="110" t="s">
        <v>316</v>
      </c>
      <c r="G100" s="111" t="s">
        <v>317</v>
      </c>
      <c r="H100" s="111" t="s">
        <v>245</v>
      </c>
      <c r="I100" s="111" t="s">
        <v>246</v>
      </c>
      <c r="J100" s="107"/>
      <c r="K100" s="107"/>
      <c r="L100" s="107"/>
      <c r="M100" s="107"/>
      <c r="N100" s="111" t="s">
        <v>206</v>
      </c>
      <c r="O100" s="107"/>
      <c r="P100" s="107"/>
      <c r="Q100" s="107"/>
      <c r="R100" s="107"/>
      <c r="S100" s="107"/>
      <c r="T100" s="107"/>
    </row>
    <row r="101" ht="12.75" customHeight="1">
      <c r="B101" s="107"/>
      <c r="C101" s="117" t="s">
        <v>323</v>
      </c>
      <c r="D101" s="109"/>
      <c r="E101" s="110" t="s">
        <v>315</v>
      </c>
      <c r="F101" s="110" t="s">
        <v>316</v>
      </c>
      <c r="G101" s="111" t="s">
        <v>317</v>
      </c>
      <c r="H101" s="111" t="s">
        <v>245</v>
      </c>
      <c r="I101" s="111" t="s">
        <v>246</v>
      </c>
      <c r="J101" s="107"/>
      <c r="K101" s="107"/>
      <c r="L101" s="107"/>
      <c r="M101" s="107"/>
      <c r="N101" s="111" t="s">
        <v>206</v>
      </c>
      <c r="O101" s="107"/>
      <c r="P101" s="107"/>
      <c r="Q101" s="107"/>
      <c r="R101" s="107"/>
      <c r="S101" s="107"/>
      <c r="T101" s="107"/>
    </row>
    <row r="102" ht="12.75" customHeight="1">
      <c r="B102" s="107"/>
      <c r="C102" s="117" t="s">
        <v>324</v>
      </c>
      <c r="D102" s="109"/>
      <c r="E102" s="110" t="s">
        <v>315</v>
      </c>
      <c r="F102" s="110" t="s">
        <v>316</v>
      </c>
      <c r="G102" s="111" t="s">
        <v>317</v>
      </c>
      <c r="H102" s="111" t="s">
        <v>245</v>
      </c>
      <c r="I102" s="111" t="s">
        <v>246</v>
      </c>
      <c r="J102" s="107"/>
      <c r="K102" s="107"/>
      <c r="L102" s="107"/>
      <c r="M102" s="107"/>
      <c r="N102" s="111" t="s">
        <v>206</v>
      </c>
      <c r="O102" s="107"/>
      <c r="P102" s="107"/>
      <c r="Q102" s="107"/>
      <c r="R102" s="107"/>
      <c r="S102" s="107"/>
      <c r="T102" s="107"/>
    </row>
    <row r="103" ht="12.75" customHeight="1">
      <c r="B103" s="107">
        <v>5.0</v>
      </c>
      <c r="C103" s="108" t="s">
        <v>325</v>
      </c>
      <c r="D103" s="109"/>
      <c r="E103" s="110" t="s">
        <v>315</v>
      </c>
      <c r="F103" s="110" t="s">
        <v>326</v>
      </c>
      <c r="G103" s="111" t="s">
        <v>327</v>
      </c>
      <c r="H103" s="111" t="s">
        <v>245</v>
      </c>
      <c r="I103" s="111" t="s">
        <v>246</v>
      </c>
      <c r="J103" s="107"/>
      <c r="K103" s="107"/>
      <c r="L103" s="107"/>
      <c r="M103" s="107"/>
      <c r="N103" s="111" t="s">
        <v>206</v>
      </c>
      <c r="O103" s="107"/>
      <c r="P103" s="107"/>
      <c r="Q103" s="107"/>
      <c r="R103" s="107"/>
      <c r="S103" s="107"/>
      <c r="T103" s="107"/>
    </row>
    <row r="104" ht="12.75" customHeight="1">
      <c r="B104" s="107"/>
      <c r="C104" s="117" t="s">
        <v>328</v>
      </c>
      <c r="D104" s="109"/>
      <c r="E104" s="110" t="s">
        <v>315</v>
      </c>
      <c r="F104" s="110" t="s">
        <v>326</v>
      </c>
      <c r="G104" s="111" t="s">
        <v>327</v>
      </c>
      <c r="H104" s="111" t="s">
        <v>245</v>
      </c>
      <c r="I104" s="111" t="s">
        <v>246</v>
      </c>
      <c r="J104" s="107"/>
      <c r="K104" s="107"/>
      <c r="L104" s="107"/>
      <c r="M104" s="107"/>
      <c r="N104" s="111" t="s">
        <v>206</v>
      </c>
      <c r="O104" s="107"/>
      <c r="P104" s="107"/>
      <c r="Q104" s="107"/>
      <c r="R104" s="107"/>
      <c r="S104" s="107"/>
      <c r="T104" s="107"/>
    </row>
    <row r="105" ht="12.75" customHeight="1">
      <c r="B105" s="107"/>
      <c r="C105" s="117" t="s">
        <v>329</v>
      </c>
      <c r="D105" s="109"/>
      <c r="E105" s="110" t="s">
        <v>315</v>
      </c>
      <c r="F105" s="110" t="s">
        <v>326</v>
      </c>
      <c r="G105" s="111" t="s">
        <v>327</v>
      </c>
      <c r="H105" s="111" t="s">
        <v>245</v>
      </c>
      <c r="I105" s="111" t="s">
        <v>246</v>
      </c>
      <c r="J105" s="107"/>
      <c r="K105" s="107"/>
      <c r="L105" s="107"/>
      <c r="M105" s="107"/>
      <c r="N105" s="111" t="s">
        <v>206</v>
      </c>
      <c r="O105" s="107"/>
      <c r="P105" s="107"/>
      <c r="Q105" s="107"/>
      <c r="R105" s="107"/>
      <c r="S105" s="107"/>
      <c r="T105" s="107"/>
    </row>
    <row r="106" ht="12.75" customHeight="1">
      <c r="B106" s="107"/>
      <c r="C106" s="117" t="s">
        <v>330</v>
      </c>
      <c r="D106" s="109"/>
      <c r="E106" s="110" t="s">
        <v>315</v>
      </c>
      <c r="F106" s="110" t="s">
        <v>326</v>
      </c>
      <c r="G106" s="111" t="s">
        <v>327</v>
      </c>
      <c r="H106" s="111" t="s">
        <v>245</v>
      </c>
      <c r="I106" s="111" t="s">
        <v>246</v>
      </c>
      <c r="J106" s="107"/>
      <c r="K106" s="107"/>
      <c r="L106" s="107"/>
      <c r="M106" s="107"/>
      <c r="N106" s="111" t="s">
        <v>206</v>
      </c>
      <c r="O106" s="107"/>
      <c r="P106" s="107"/>
      <c r="Q106" s="107"/>
      <c r="R106" s="107"/>
      <c r="S106" s="107"/>
      <c r="T106" s="107"/>
    </row>
    <row r="107" ht="12.75" customHeight="1">
      <c r="B107" s="107"/>
      <c r="C107" s="117" t="s">
        <v>331</v>
      </c>
      <c r="D107" s="109"/>
      <c r="E107" s="110" t="s">
        <v>315</v>
      </c>
      <c r="F107" s="110" t="s">
        <v>326</v>
      </c>
      <c r="G107" s="111" t="s">
        <v>327</v>
      </c>
      <c r="H107" s="111" t="s">
        <v>245</v>
      </c>
      <c r="I107" s="111" t="s">
        <v>246</v>
      </c>
      <c r="J107" s="107"/>
      <c r="K107" s="107"/>
      <c r="L107" s="107"/>
      <c r="M107" s="107"/>
      <c r="N107" s="111" t="s">
        <v>206</v>
      </c>
      <c r="O107" s="107"/>
      <c r="P107" s="107"/>
      <c r="Q107" s="107"/>
      <c r="R107" s="107"/>
      <c r="S107" s="107"/>
      <c r="T107" s="107"/>
    </row>
    <row r="108" ht="12.75" customHeight="1">
      <c r="B108" s="107"/>
      <c r="C108" s="117" t="s">
        <v>332</v>
      </c>
      <c r="D108" s="109"/>
      <c r="E108" s="110" t="s">
        <v>315</v>
      </c>
      <c r="F108" s="110" t="s">
        <v>326</v>
      </c>
      <c r="G108" s="111" t="s">
        <v>327</v>
      </c>
      <c r="H108" s="111" t="s">
        <v>245</v>
      </c>
      <c r="I108" s="111" t="s">
        <v>246</v>
      </c>
      <c r="J108" s="107"/>
      <c r="K108" s="107"/>
      <c r="L108" s="107"/>
      <c r="M108" s="107"/>
      <c r="N108" s="111" t="s">
        <v>206</v>
      </c>
      <c r="O108" s="107"/>
      <c r="P108" s="107"/>
      <c r="Q108" s="107"/>
      <c r="R108" s="107"/>
      <c r="S108" s="107"/>
      <c r="T108" s="107"/>
    </row>
    <row r="109" ht="12.75" customHeight="1">
      <c r="B109" s="107"/>
      <c r="C109" s="117" t="s">
        <v>333</v>
      </c>
      <c r="D109" s="109"/>
      <c r="E109" s="110" t="s">
        <v>315</v>
      </c>
      <c r="F109" s="110" t="s">
        <v>326</v>
      </c>
      <c r="G109" s="111" t="s">
        <v>327</v>
      </c>
      <c r="H109" s="111" t="s">
        <v>245</v>
      </c>
      <c r="I109" s="111" t="s">
        <v>246</v>
      </c>
      <c r="J109" s="107"/>
      <c r="K109" s="107"/>
      <c r="L109" s="107"/>
      <c r="M109" s="107"/>
      <c r="N109" s="111" t="s">
        <v>206</v>
      </c>
      <c r="O109" s="107"/>
      <c r="P109" s="107"/>
      <c r="Q109" s="107"/>
      <c r="R109" s="107"/>
      <c r="S109" s="107"/>
      <c r="T109" s="107"/>
    </row>
    <row r="110" ht="12.75" customHeight="1">
      <c r="B110" s="107"/>
      <c r="C110" s="117" t="s">
        <v>334</v>
      </c>
      <c r="D110" s="109"/>
      <c r="E110" s="110" t="s">
        <v>315</v>
      </c>
      <c r="F110" s="110" t="s">
        <v>326</v>
      </c>
      <c r="G110" s="111" t="s">
        <v>327</v>
      </c>
      <c r="H110" s="111" t="s">
        <v>245</v>
      </c>
      <c r="I110" s="111" t="s">
        <v>246</v>
      </c>
      <c r="J110" s="107"/>
      <c r="K110" s="107"/>
      <c r="L110" s="107"/>
      <c r="M110" s="107"/>
      <c r="N110" s="111" t="s">
        <v>206</v>
      </c>
      <c r="O110" s="107"/>
      <c r="P110" s="107"/>
      <c r="Q110" s="107"/>
      <c r="R110" s="107"/>
      <c r="S110" s="107"/>
      <c r="T110" s="107"/>
    </row>
    <row r="111" ht="12.75" customHeight="1">
      <c r="B111" s="107"/>
      <c r="C111" s="117" t="s">
        <v>335</v>
      </c>
      <c r="D111" s="109"/>
      <c r="E111" s="110" t="s">
        <v>315</v>
      </c>
      <c r="F111" s="110" t="s">
        <v>326</v>
      </c>
      <c r="G111" s="111" t="s">
        <v>327</v>
      </c>
      <c r="H111" s="111" t="s">
        <v>245</v>
      </c>
      <c r="I111" s="111" t="s">
        <v>246</v>
      </c>
      <c r="J111" s="107"/>
      <c r="K111" s="107"/>
      <c r="L111" s="107"/>
      <c r="M111" s="107"/>
      <c r="N111" s="111" t="s">
        <v>206</v>
      </c>
      <c r="O111" s="107"/>
      <c r="P111" s="107"/>
      <c r="Q111" s="107"/>
      <c r="R111" s="107"/>
      <c r="S111" s="107"/>
      <c r="T111" s="107"/>
    </row>
    <row r="112" ht="12.75" customHeight="1">
      <c r="B112" s="107"/>
      <c r="C112" s="117" t="s">
        <v>336</v>
      </c>
      <c r="D112" s="109"/>
      <c r="E112" s="110" t="s">
        <v>315</v>
      </c>
      <c r="F112" s="110" t="s">
        <v>326</v>
      </c>
      <c r="G112" s="111" t="s">
        <v>327</v>
      </c>
      <c r="H112" s="111" t="s">
        <v>245</v>
      </c>
      <c r="I112" s="111" t="s">
        <v>246</v>
      </c>
      <c r="J112" s="107"/>
      <c r="K112" s="107"/>
      <c r="L112" s="107"/>
      <c r="M112" s="107"/>
      <c r="N112" s="111" t="s">
        <v>206</v>
      </c>
      <c r="O112" s="107"/>
      <c r="P112" s="107"/>
      <c r="Q112" s="107"/>
      <c r="R112" s="107"/>
      <c r="S112" s="107"/>
      <c r="T112" s="107"/>
    </row>
    <row r="113" ht="12.75" customHeight="1">
      <c r="B113" s="107"/>
      <c r="C113" s="117" t="s">
        <v>337</v>
      </c>
      <c r="D113" s="109"/>
      <c r="E113" s="110" t="s">
        <v>315</v>
      </c>
      <c r="F113" s="110" t="s">
        <v>326</v>
      </c>
      <c r="G113" s="111" t="s">
        <v>327</v>
      </c>
      <c r="H113" s="111" t="s">
        <v>245</v>
      </c>
      <c r="I113" s="111" t="s">
        <v>246</v>
      </c>
      <c r="J113" s="107"/>
      <c r="K113" s="107"/>
      <c r="L113" s="107"/>
      <c r="M113" s="107"/>
      <c r="N113" s="111" t="s">
        <v>206</v>
      </c>
      <c r="O113" s="107"/>
      <c r="P113" s="107"/>
      <c r="Q113" s="107"/>
      <c r="R113" s="107"/>
      <c r="S113" s="107"/>
      <c r="T113" s="107"/>
    </row>
    <row r="114" ht="12.75" customHeight="1">
      <c r="B114" s="107"/>
      <c r="C114" s="117" t="s">
        <v>338</v>
      </c>
      <c r="D114" s="109"/>
      <c r="E114" s="110" t="s">
        <v>315</v>
      </c>
      <c r="F114" s="110" t="s">
        <v>326</v>
      </c>
      <c r="G114" s="111" t="s">
        <v>327</v>
      </c>
      <c r="H114" s="111" t="s">
        <v>245</v>
      </c>
      <c r="I114" s="111" t="s">
        <v>246</v>
      </c>
      <c r="J114" s="107"/>
      <c r="K114" s="107"/>
      <c r="L114" s="107"/>
      <c r="M114" s="107"/>
      <c r="N114" s="111" t="s">
        <v>206</v>
      </c>
      <c r="O114" s="107"/>
      <c r="P114" s="107"/>
      <c r="Q114" s="107"/>
      <c r="R114" s="107"/>
      <c r="S114" s="107"/>
      <c r="T114" s="107"/>
    </row>
    <row r="115" ht="12.75" customHeight="1">
      <c r="B115" s="107"/>
      <c r="C115" s="117" t="s">
        <v>339</v>
      </c>
      <c r="D115" s="109"/>
      <c r="E115" s="110" t="s">
        <v>315</v>
      </c>
      <c r="F115" s="110" t="s">
        <v>326</v>
      </c>
      <c r="G115" s="111" t="s">
        <v>327</v>
      </c>
      <c r="H115" s="111" t="s">
        <v>245</v>
      </c>
      <c r="I115" s="111" t="s">
        <v>246</v>
      </c>
      <c r="J115" s="107"/>
      <c r="K115" s="107"/>
      <c r="L115" s="107"/>
      <c r="M115" s="107"/>
      <c r="N115" s="111" t="s">
        <v>206</v>
      </c>
      <c r="O115" s="107"/>
      <c r="P115" s="107"/>
      <c r="Q115" s="107"/>
      <c r="R115" s="107"/>
      <c r="S115" s="107"/>
      <c r="T115" s="107"/>
    </row>
    <row r="116" ht="12.75" customHeight="1">
      <c r="B116" s="107"/>
      <c r="C116" s="117" t="s">
        <v>340</v>
      </c>
      <c r="D116" s="109"/>
      <c r="E116" s="110" t="s">
        <v>315</v>
      </c>
      <c r="F116" s="110" t="s">
        <v>326</v>
      </c>
      <c r="G116" s="111" t="s">
        <v>327</v>
      </c>
      <c r="H116" s="111" t="s">
        <v>245</v>
      </c>
      <c r="I116" s="111" t="s">
        <v>246</v>
      </c>
      <c r="J116" s="107"/>
      <c r="K116" s="107"/>
      <c r="L116" s="107"/>
      <c r="M116" s="107"/>
      <c r="N116" s="111" t="s">
        <v>206</v>
      </c>
      <c r="O116" s="107"/>
      <c r="P116" s="107"/>
      <c r="Q116" s="107"/>
      <c r="R116" s="107"/>
      <c r="S116" s="107"/>
      <c r="T116" s="107"/>
    </row>
    <row r="117" ht="12.75" customHeight="1">
      <c r="B117" s="107"/>
      <c r="C117" s="117" t="s">
        <v>271</v>
      </c>
      <c r="D117" s="109"/>
      <c r="E117" s="110" t="s">
        <v>315</v>
      </c>
      <c r="F117" s="110" t="s">
        <v>326</v>
      </c>
      <c r="G117" s="111" t="s">
        <v>327</v>
      </c>
      <c r="H117" s="111" t="s">
        <v>245</v>
      </c>
      <c r="I117" s="111" t="s">
        <v>246</v>
      </c>
      <c r="J117" s="107"/>
      <c r="K117" s="107"/>
      <c r="L117" s="107"/>
      <c r="M117" s="107"/>
      <c r="N117" s="111" t="s">
        <v>206</v>
      </c>
      <c r="O117" s="107"/>
      <c r="P117" s="107"/>
      <c r="Q117" s="107"/>
      <c r="R117" s="107"/>
      <c r="S117" s="107"/>
      <c r="T117" s="107"/>
    </row>
    <row r="118" ht="12.75" customHeight="1">
      <c r="B118" s="107">
        <v>6.0</v>
      </c>
      <c r="C118" s="108" t="s">
        <v>341</v>
      </c>
      <c r="D118" s="109"/>
      <c r="E118" s="110">
        <v>7.0</v>
      </c>
      <c r="F118" s="110" t="s">
        <v>202</v>
      </c>
      <c r="G118" s="111" t="s">
        <v>341</v>
      </c>
      <c r="H118" s="111" t="s">
        <v>342</v>
      </c>
      <c r="I118" s="111" t="s">
        <v>246</v>
      </c>
      <c r="J118" s="107"/>
      <c r="K118" s="107"/>
      <c r="L118" s="107"/>
      <c r="M118" s="107"/>
      <c r="N118" s="107" t="s">
        <v>343</v>
      </c>
      <c r="O118" s="107" t="s">
        <v>343</v>
      </c>
      <c r="P118" s="107"/>
      <c r="Q118" s="107"/>
      <c r="R118" s="107"/>
      <c r="S118" s="107"/>
      <c r="T118" s="107"/>
    </row>
    <row r="119" ht="12.75" customHeight="1">
      <c r="B119" s="107"/>
      <c r="C119" s="117" t="s">
        <v>344</v>
      </c>
      <c r="D119" s="109"/>
      <c r="E119" s="110">
        <v>7.0</v>
      </c>
      <c r="F119" s="110" t="s">
        <v>202</v>
      </c>
      <c r="G119" s="111" t="s">
        <v>341</v>
      </c>
      <c r="H119" s="111" t="s">
        <v>342</v>
      </c>
      <c r="I119" s="111" t="s">
        <v>246</v>
      </c>
      <c r="J119" s="107"/>
      <c r="K119" s="107"/>
      <c r="L119" s="107"/>
      <c r="M119" s="107"/>
      <c r="N119" s="107" t="s">
        <v>343</v>
      </c>
      <c r="O119" s="107"/>
      <c r="P119" s="107"/>
      <c r="Q119" s="107"/>
      <c r="R119" s="107"/>
      <c r="S119" s="107"/>
      <c r="T119" s="107"/>
    </row>
    <row r="120" ht="12.75" customHeight="1">
      <c r="B120" s="107"/>
      <c r="C120" s="117" t="s">
        <v>345</v>
      </c>
      <c r="D120" s="109"/>
      <c r="E120" s="110">
        <v>7.0</v>
      </c>
      <c r="F120" s="110" t="s">
        <v>202</v>
      </c>
      <c r="G120" s="111" t="s">
        <v>341</v>
      </c>
      <c r="H120" s="111" t="s">
        <v>342</v>
      </c>
      <c r="I120" s="111" t="s">
        <v>246</v>
      </c>
      <c r="J120" s="107"/>
      <c r="K120" s="107"/>
      <c r="L120" s="107"/>
      <c r="M120" s="107"/>
      <c r="N120" s="107" t="s">
        <v>343</v>
      </c>
      <c r="O120" s="107"/>
      <c r="P120" s="107"/>
      <c r="Q120" s="107"/>
      <c r="R120" s="107"/>
      <c r="S120" s="107"/>
      <c r="T120" s="107"/>
    </row>
    <row r="121" ht="12.75" customHeight="1">
      <c r="B121" s="107"/>
      <c r="C121" s="117" t="s">
        <v>346</v>
      </c>
      <c r="D121" s="109"/>
      <c r="E121" s="110">
        <v>7.0</v>
      </c>
      <c r="F121" s="110" t="s">
        <v>202</v>
      </c>
      <c r="G121" s="111" t="s">
        <v>341</v>
      </c>
      <c r="H121" s="111" t="s">
        <v>342</v>
      </c>
      <c r="I121" s="111" t="s">
        <v>246</v>
      </c>
      <c r="J121" s="107"/>
      <c r="K121" s="107"/>
      <c r="L121" s="107"/>
      <c r="M121" s="107"/>
      <c r="N121" s="107" t="s">
        <v>343</v>
      </c>
      <c r="O121" s="107"/>
      <c r="P121" s="107"/>
      <c r="Q121" s="107"/>
      <c r="R121" s="107"/>
      <c r="S121" s="107"/>
      <c r="T121" s="107"/>
    </row>
    <row r="122" ht="12.75" customHeight="1">
      <c r="B122" s="107"/>
      <c r="C122" s="117" t="s">
        <v>347</v>
      </c>
      <c r="D122" s="109"/>
      <c r="E122" s="110">
        <v>7.0</v>
      </c>
      <c r="F122" s="110" t="s">
        <v>202</v>
      </c>
      <c r="G122" s="111" t="s">
        <v>341</v>
      </c>
      <c r="H122" s="111" t="s">
        <v>342</v>
      </c>
      <c r="I122" s="111" t="s">
        <v>246</v>
      </c>
      <c r="J122" s="107"/>
      <c r="K122" s="107"/>
      <c r="L122" s="107"/>
      <c r="M122" s="107"/>
      <c r="N122" s="107" t="s">
        <v>343</v>
      </c>
      <c r="O122" s="107"/>
      <c r="P122" s="107"/>
      <c r="Q122" s="107"/>
      <c r="R122" s="107"/>
      <c r="S122" s="107"/>
      <c r="T122" s="107"/>
    </row>
    <row r="123" ht="12.75" customHeight="1">
      <c r="B123" s="107"/>
      <c r="C123" s="117" t="s">
        <v>348</v>
      </c>
      <c r="D123" s="109"/>
      <c r="E123" s="110">
        <v>7.0</v>
      </c>
      <c r="F123" s="110" t="s">
        <v>202</v>
      </c>
      <c r="G123" s="111" t="s">
        <v>341</v>
      </c>
      <c r="H123" s="111" t="s">
        <v>342</v>
      </c>
      <c r="I123" s="111" t="s">
        <v>246</v>
      </c>
      <c r="J123" s="107"/>
      <c r="K123" s="107"/>
      <c r="L123" s="107"/>
      <c r="M123" s="107"/>
      <c r="N123" s="107" t="s">
        <v>343</v>
      </c>
      <c r="O123" s="107"/>
      <c r="P123" s="107"/>
      <c r="Q123" s="107"/>
      <c r="R123" s="107"/>
      <c r="S123" s="107"/>
      <c r="T123" s="107"/>
    </row>
    <row r="124" ht="12.75" customHeight="1">
      <c r="B124" s="107"/>
      <c r="C124" s="117" t="s">
        <v>349</v>
      </c>
      <c r="D124" s="109"/>
      <c r="E124" s="110">
        <v>7.0</v>
      </c>
      <c r="F124" s="110" t="s">
        <v>202</v>
      </c>
      <c r="G124" s="111" t="s">
        <v>341</v>
      </c>
      <c r="H124" s="111" t="s">
        <v>342</v>
      </c>
      <c r="I124" s="111" t="s">
        <v>246</v>
      </c>
      <c r="J124" s="107"/>
      <c r="K124" s="107"/>
      <c r="L124" s="107"/>
      <c r="M124" s="107"/>
      <c r="N124" s="107" t="s">
        <v>343</v>
      </c>
      <c r="O124" s="107"/>
      <c r="P124" s="107"/>
      <c r="Q124" s="107"/>
      <c r="R124" s="107"/>
      <c r="S124" s="107"/>
      <c r="T124" s="107"/>
    </row>
    <row r="125" ht="12.75" customHeight="1">
      <c r="B125" s="107"/>
      <c r="C125" s="117" t="s">
        <v>350</v>
      </c>
      <c r="D125" s="109"/>
      <c r="E125" s="110">
        <v>7.0</v>
      </c>
      <c r="F125" s="110" t="s">
        <v>202</v>
      </c>
      <c r="G125" s="111" t="s">
        <v>341</v>
      </c>
      <c r="H125" s="111" t="s">
        <v>342</v>
      </c>
      <c r="I125" s="111" t="s">
        <v>246</v>
      </c>
      <c r="J125" s="107"/>
      <c r="K125" s="107"/>
      <c r="L125" s="107"/>
      <c r="M125" s="107"/>
      <c r="N125" s="107" t="s">
        <v>343</v>
      </c>
      <c r="O125" s="107"/>
      <c r="P125" s="107"/>
      <c r="Q125" s="107"/>
      <c r="R125" s="107"/>
      <c r="S125" s="107"/>
      <c r="T125" s="107"/>
    </row>
    <row r="126" ht="12.75" customHeight="1">
      <c r="B126" s="107"/>
      <c r="C126" s="117" t="s">
        <v>351</v>
      </c>
      <c r="D126" s="109"/>
      <c r="E126" s="110">
        <v>7.0</v>
      </c>
      <c r="F126" s="110" t="s">
        <v>202</v>
      </c>
      <c r="G126" s="111" t="s">
        <v>341</v>
      </c>
      <c r="H126" s="111" t="s">
        <v>342</v>
      </c>
      <c r="I126" s="111" t="s">
        <v>246</v>
      </c>
      <c r="J126" s="107"/>
      <c r="K126" s="107"/>
      <c r="L126" s="107"/>
      <c r="M126" s="107"/>
      <c r="N126" s="107" t="s">
        <v>343</v>
      </c>
      <c r="O126" s="107"/>
      <c r="P126" s="107"/>
      <c r="Q126" s="107"/>
      <c r="R126" s="107"/>
      <c r="S126" s="107"/>
      <c r="T126" s="107"/>
    </row>
    <row r="127" ht="12.75" customHeight="1">
      <c r="B127" s="107"/>
      <c r="C127" s="117" t="s">
        <v>352</v>
      </c>
      <c r="D127" s="109"/>
      <c r="E127" s="110">
        <v>7.0</v>
      </c>
      <c r="F127" s="110" t="s">
        <v>202</v>
      </c>
      <c r="G127" s="111" t="s">
        <v>341</v>
      </c>
      <c r="H127" s="111" t="s">
        <v>342</v>
      </c>
      <c r="I127" s="111" t="s">
        <v>246</v>
      </c>
      <c r="J127" s="107"/>
      <c r="K127" s="107"/>
      <c r="L127" s="107"/>
      <c r="M127" s="107"/>
      <c r="N127" s="107" t="s">
        <v>343</v>
      </c>
      <c r="O127" s="107"/>
      <c r="P127" s="107"/>
      <c r="Q127" s="107"/>
      <c r="R127" s="107"/>
      <c r="S127" s="107"/>
      <c r="T127" s="107"/>
    </row>
    <row r="128" ht="12.75" customHeight="1">
      <c r="B128" s="107"/>
      <c r="C128" s="117" t="s">
        <v>353</v>
      </c>
      <c r="D128" s="109"/>
      <c r="E128" s="110">
        <v>7.0</v>
      </c>
      <c r="F128" s="110" t="s">
        <v>202</v>
      </c>
      <c r="G128" s="111" t="s">
        <v>341</v>
      </c>
      <c r="H128" s="111" t="s">
        <v>342</v>
      </c>
      <c r="I128" s="111" t="s">
        <v>246</v>
      </c>
      <c r="J128" s="107"/>
      <c r="K128" s="107"/>
      <c r="L128" s="107"/>
      <c r="M128" s="107"/>
      <c r="N128" s="107" t="s">
        <v>343</v>
      </c>
      <c r="O128" s="107"/>
      <c r="P128" s="107"/>
      <c r="Q128" s="107"/>
      <c r="R128" s="107"/>
      <c r="S128" s="107"/>
      <c r="T128" s="107"/>
    </row>
    <row r="129" ht="12.75" customHeight="1">
      <c r="B129" s="107"/>
      <c r="C129" s="117" t="s">
        <v>354</v>
      </c>
      <c r="D129" s="109"/>
      <c r="E129" s="110">
        <v>7.0</v>
      </c>
      <c r="F129" s="110" t="s">
        <v>202</v>
      </c>
      <c r="G129" s="111" t="s">
        <v>341</v>
      </c>
      <c r="H129" s="111" t="s">
        <v>342</v>
      </c>
      <c r="I129" s="111" t="s">
        <v>246</v>
      </c>
      <c r="J129" s="107"/>
      <c r="K129" s="107"/>
      <c r="L129" s="107"/>
      <c r="M129" s="107"/>
      <c r="N129" s="107" t="s">
        <v>343</v>
      </c>
      <c r="O129" s="107"/>
      <c r="P129" s="107"/>
      <c r="Q129" s="107"/>
      <c r="R129" s="107"/>
      <c r="S129" s="107"/>
      <c r="T129" s="107"/>
    </row>
    <row r="130" ht="12.75" customHeight="1">
      <c r="B130" s="107"/>
      <c r="C130" s="117" t="s">
        <v>355</v>
      </c>
      <c r="D130" s="109"/>
      <c r="E130" s="110">
        <v>7.0</v>
      </c>
      <c r="F130" s="110" t="s">
        <v>202</v>
      </c>
      <c r="G130" s="111" t="s">
        <v>341</v>
      </c>
      <c r="H130" s="111" t="s">
        <v>342</v>
      </c>
      <c r="I130" s="111" t="s">
        <v>246</v>
      </c>
      <c r="J130" s="107"/>
      <c r="K130" s="107"/>
      <c r="L130" s="107"/>
      <c r="M130" s="107"/>
      <c r="N130" s="107" t="s">
        <v>343</v>
      </c>
      <c r="O130" s="107"/>
      <c r="P130" s="107"/>
      <c r="Q130" s="107"/>
      <c r="R130" s="107"/>
      <c r="S130" s="107"/>
      <c r="T130" s="107"/>
    </row>
    <row r="131" ht="12.75" customHeight="1">
      <c r="B131" s="107"/>
      <c r="C131" s="117" t="s">
        <v>356</v>
      </c>
      <c r="D131" s="109"/>
      <c r="E131" s="110">
        <v>7.0</v>
      </c>
      <c r="F131" s="110" t="s">
        <v>202</v>
      </c>
      <c r="G131" s="111" t="s">
        <v>341</v>
      </c>
      <c r="H131" s="111" t="s">
        <v>342</v>
      </c>
      <c r="I131" s="111" t="s">
        <v>246</v>
      </c>
      <c r="J131" s="107"/>
      <c r="K131" s="107"/>
      <c r="L131" s="107"/>
      <c r="M131" s="107"/>
      <c r="N131" s="107" t="s">
        <v>343</v>
      </c>
      <c r="O131" s="107"/>
      <c r="P131" s="107"/>
      <c r="Q131" s="107"/>
      <c r="R131" s="107"/>
      <c r="S131" s="107"/>
      <c r="T131" s="107"/>
    </row>
    <row r="132" ht="12.75" customHeight="1">
      <c r="B132" s="107"/>
      <c r="C132" s="117" t="s">
        <v>357</v>
      </c>
      <c r="D132" s="109"/>
      <c r="E132" s="110">
        <v>7.0</v>
      </c>
      <c r="F132" s="110" t="s">
        <v>202</v>
      </c>
      <c r="G132" s="111" t="s">
        <v>341</v>
      </c>
      <c r="H132" s="111" t="s">
        <v>342</v>
      </c>
      <c r="I132" s="111" t="s">
        <v>246</v>
      </c>
      <c r="J132" s="107"/>
      <c r="K132" s="107"/>
      <c r="L132" s="107"/>
      <c r="M132" s="107"/>
      <c r="N132" s="107" t="s">
        <v>343</v>
      </c>
      <c r="O132" s="107"/>
      <c r="P132" s="107"/>
      <c r="Q132" s="107"/>
      <c r="R132" s="107"/>
      <c r="S132" s="107"/>
      <c r="T132" s="107"/>
    </row>
    <row r="133" ht="12.75" customHeight="1">
      <c r="B133" s="107">
        <v>7.0</v>
      </c>
      <c r="C133" s="108" t="s">
        <v>358</v>
      </c>
      <c r="D133" s="109"/>
      <c r="E133" s="110">
        <v>2.0</v>
      </c>
      <c r="F133" s="110" t="s">
        <v>359</v>
      </c>
      <c r="G133" s="111" t="s">
        <v>360</v>
      </c>
      <c r="H133" s="111" t="s">
        <v>342</v>
      </c>
      <c r="I133" s="111" t="s">
        <v>361</v>
      </c>
      <c r="J133" s="111"/>
      <c r="K133" s="107"/>
      <c r="L133" s="107"/>
      <c r="M133" s="107"/>
      <c r="N133" s="107" t="s">
        <v>343</v>
      </c>
      <c r="O133" s="107"/>
      <c r="P133" s="107"/>
      <c r="Q133" s="107"/>
      <c r="R133" s="107"/>
      <c r="S133" s="107"/>
      <c r="T133" s="107"/>
    </row>
    <row r="134" ht="12.75" customHeight="1">
      <c r="B134" s="107"/>
      <c r="C134" s="111" t="s">
        <v>362</v>
      </c>
      <c r="D134" s="109"/>
      <c r="E134" s="110">
        <v>2.0</v>
      </c>
      <c r="F134" s="110" t="s">
        <v>359</v>
      </c>
      <c r="G134" s="111" t="s">
        <v>360</v>
      </c>
      <c r="H134" s="111" t="s">
        <v>342</v>
      </c>
      <c r="I134" s="111" t="s">
        <v>361</v>
      </c>
      <c r="J134" s="107"/>
      <c r="K134" s="107"/>
      <c r="L134" s="107"/>
      <c r="M134" s="107"/>
      <c r="N134" s="107" t="s">
        <v>343</v>
      </c>
      <c r="O134" s="107"/>
      <c r="P134" s="107"/>
      <c r="Q134" s="107"/>
      <c r="R134" s="107"/>
      <c r="S134" s="107"/>
      <c r="T134" s="107"/>
    </row>
    <row r="135" ht="12.75" customHeight="1">
      <c r="B135" s="107"/>
      <c r="C135" s="117" t="s">
        <v>363</v>
      </c>
      <c r="D135" s="109"/>
      <c r="E135" s="110">
        <v>2.0</v>
      </c>
      <c r="F135" s="110" t="s">
        <v>359</v>
      </c>
      <c r="G135" s="111" t="s">
        <v>360</v>
      </c>
      <c r="H135" s="111" t="s">
        <v>342</v>
      </c>
      <c r="I135" s="111" t="s">
        <v>361</v>
      </c>
      <c r="J135" s="107"/>
      <c r="K135" s="107"/>
      <c r="L135" s="107"/>
      <c r="M135" s="107"/>
      <c r="N135" s="107" t="s">
        <v>343</v>
      </c>
      <c r="O135" s="107"/>
      <c r="P135" s="107"/>
      <c r="Q135" s="107"/>
      <c r="R135" s="107"/>
      <c r="S135" s="107"/>
      <c r="T135" s="107"/>
    </row>
    <row r="136" ht="12.75" customHeight="1">
      <c r="B136" s="107"/>
      <c r="C136" s="117" t="s">
        <v>364</v>
      </c>
      <c r="D136" s="109"/>
      <c r="E136" s="110">
        <v>2.0</v>
      </c>
      <c r="F136" s="110" t="s">
        <v>359</v>
      </c>
      <c r="G136" s="111" t="s">
        <v>360</v>
      </c>
      <c r="H136" s="111" t="s">
        <v>342</v>
      </c>
      <c r="I136" s="111" t="s">
        <v>361</v>
      </c>
      <c r="J136" s="107"/>
      <c r="K136" s="107"/>
      <c r="L136" s="107"/>
      <c r="M136" s="107"/>
      <c r="N136" s="107" t="s">
        <v>343</v>
      </c>
      <c r="O136" s="107"/>
      <c r="P136" s="107"/>
      <c r="Q136" s="107"/>
      <c r="R136" s="107"/>
      <c r="S136" s="107"/>
      <c r="T136" s="107"/>
    </row>
    <row r="137" ht="12.75" customHeight="1">
      <c r="B137" s="107"/>
      <c r="C137" s="117" t="s">
        <v>365</v>
      </c>
      <c r="D137" s="109"/>
      <c r="E137" s="110">
        <v>2.0</v>
      </c>
      <c r="F137" s="110" t="s">
        <v>359</v>
      </c>
      <c r="G137" s="111" t="s">
        <v>360</v>
      </c>
      <c r="H137" s="111" t="s">
        <v>342</v>
      </c>
      <c r="I137" s="111" t="s">
        <v>361</v>
      </c>
      <c r="J137" s="107"/>
      <c r="K137" s="107"/>
      <c r="L137" s="107"/>
      <c r="M137" s="107"/>
      <c r="N137" s="107" t="s">
        <v>343</v>
      </c>
      <c r="O137" s="107"/>
      <c r="P137" s="107"/>
      <c r="Q137" s="107"/>
      <c r="R137" s="107"/>
      <c r="S137" s="107"/>
      <c r="T137" s="107"/>
    </row>
    <row r="138" ht="12.75" customHeight="1">
      <c r="B138" s="107"/>
      <c r="C138" s="117" t="s">
        <v>366</v>
      </c>
      <c r="D138" s="109" t="s">
        <v>367</v>
      </c>
      <c r="E138" s="110">
        <v>2.0</v>
      </c>
      <c r="F138" s="110" t="s">
        <v>359</v>
      </c>
      <c r="G138" s="111" t="s">
        <v>360</v>
      </c>
      <c r="H138" s="111" t="s">
        <v>342</v>
      </c>
      <c r="I138" s="111" t="s">
        <v>361</v>
      </c>
      <c r="J138" s="107"/>
      <c r="K138" s="107"/>
      <c r="L138" s="107"/>
      <c r="M138" s="107"/>
      <c r="N138" s="107" t="s">
        <v>343</v>
      </c>
      <c r="O138" s="107"/>
      <c r="P138" s="107"/>
      <c r="Q138" s="107"/>
      <c r="R138" s="107"/>
      <c r="S138" s="107"/>
      <c r="T138" s="107"/>
    </row>
    <row r="139" ht="12.75" customHeight="1">
      <c r="B139" s="107"/>
      <c r="C139" s="117" t="s">
        <v>368</v>
      </c>
      <c r="D139" s="109" t="s">
        <v>369</v>
      </c>
      <c r="E139" s="110">
        <v>2.0</v>
      </c>
      <c r="F139" s="110" t="s">
        <v>359</v>
      </c>
      <c r="G139" s="111" t="s">
        <v>360</v>
      </c>
      <c r="H139" s="111" t="s">
        <v>342</v>
      </c>
      <c r="I139" s="111" t="s">
        <v>361</v>
      </c>
      <c r="J139" s="107"/>
      <c r="K139" s="107"/>
      <c r="L139" s="107"/>
      <c r="M139" s="107"/>
      <c r="N139" s="107" t="s">
        <v>343</v>
      </c>
      <c r="O139" s="107"/>
      <c r="P139" s="107"/>
      <c r="Q139" s="107"/>
      <c r="R139" s="107"/>
      <c r="S139" s="107"/>
      <c r="T139" s="107"/>
    </row>
    <row r="140" ht="12.75" customHeight="1">
      <c r="B140" s="107"/>
      <c r="C140" s="117" t="s">
        <v>370</v>
      </c>
      <c r="D140" s="109"/>
      <c r="E140" s="110">
        <v>2.0</v>
      </c>
      <c r="F140" s="110" t="s">
        <v>359</v>
      </c>
      <c r="G140" s="111" t="s">
        <v>360</v>
      </c>
      <c r="H140" s="111" t="s">
        <v>342</v>
      </c>
      <c r="I140" s="111" t="s">
        <v>361</v>
      </c>
      <c r="J140" s="107"/>
      <c r="K140" s="107"/>
      <c r="L140" s="107"/>
      <c r="M140" s="107"/>
      <c r="N140" s="107" t="s">
        <v>343</v>
      </c>
      <c r="O140" s="107"/>
      <c r="P140" s="107"/>
      <c r="Q140" s="107"/>
      <c r="R140" s="107"/>
      <c r="S140" s="107"/>
      <c r="T140" s="107"/>
    </row>
    <row r="141" ht="12.75" customHeight="1">
      <c r="B141" s="107"/>
      <c r="C141" s="117" t="s">
        <v>371</v>
      </c>
      <c r="D141" s="109"/>
      <c r="E141" s="110">
        <v>2.0</v>
      </c>
      <c r="F141" s="110" t="s">
        <v>359</v>
      </c>
      <c r="G141" s="111" t="s">
        <v>360</v>
      </c>
      <c r="H141" s="111" t="s">
        <v>342</v>
      </c>
      <c r="I141" s="111" t="s">
        <v>361</v>
      </c>
      <c r="J141" s="107"/>
      <c r="K141" s="107"/>
      <c r="L141" s="107"/>
      <c r="M141" s="107"/>
      <c r="N141" s="107" t="s">
        <v>343</v>
      </c>
      <c r="O141" s="107"/>
      <c r="P141" s="107"/>
      <c r="Q141" s="107"/>
      <c r="R141" s="107"/>
      <c r="S141" s="107"/>
      <c r="T141" s="107"/>
    </row>
    <row r="142" ht="12.75" customHeight="1">
      <c r="B142" s="107"/>
      <c r="C142" s="117" t="s">
        <v>372</v>
      </c>
      <c r="D142" s="109"/>
      <c r="E142" s="110">
        <v>2.0</v>
      </c>
      <c r="F142" s="110" t="s">
        <v>359</v>
      </c>
      <c r="G142" s="111" t="s">
        <v>360</v>
      </c>
      <c r="H142" s="111" t="s">
        <v>342</v>
      </c>
      <c r="I142" s="111" t="s">
        <v>361</v>
      </c>
      <c r="J142" s="107"/>
      <c r="K142" s="107"/>
      <c r="L142" s="107"/>
      <c r="M142" s="107"/>
      <c r="N142" s="107" t="s">
        <v>343</v>
      </c>
      <c r="O142" s="107"/>
      <c r="P142" s="107"/>
      <c r="Q142" s="107"/>
      <c r="R142" s="107"/>
      <c r="S142" s="107"/>
      <c r="T142" s="107"/>
    </row>
    <row r="143" ht="12.75" customHeight="1">
      <c r="B143" s="107"/>
      <c r="C143" s="117" t="s">
        <v>373</v>
      </c>
      <c r="D143" s="109"/>
      <c r="E143" s="110">
        <v>2.0</v>
      </c>
      <c r="F143" s="110" t="s">
        <v>359</v>
      </c>
      <c r="G143" s="111" t="s">
        <v>360</v>
      </c>
      <c r="H143" s="111" t="s">
        <v>342</v>
      </c>
      <c r="I143" s="111" t="s">
        <v>361</v>
      </c>
      <c r="J143" s="107"/>
      <c r="K143" s="107"/>
      <c r="L143" s="107"/>
      <c r="M143" s="107"/>
      <c r="N143" s="107" t="s">
        <v>343</v>
      </c>
      <c r="O143" s="107"/>
      <c r="P143" s="107"/>
      <c r="Q143" s="107"/>
      <c r="R143" s="107"/>
      <c r="S143" s="107"/>
      <c r="T143" s="107"/>
    </row>
    <row r="144" ht="12.75" customHeight="1">
      <c r="B144" s="107"/>
      <c r="C144" s="117" t="s">
        <v>374</v>
      </c>
      <c r="D144" s="109"/>
      <c r="E144" s="110">
        <v>2.0</v>
      </c>
      <c r="F144" s="110" t="s">
        <v>359</v>
      </c>
      <c r="G144" s="111" t="s">
        <v>360</v>
      </c>
      <c r="H144" s="111" t="s">
        <v>342</v>
      </c>
      <c r="I144" s="111" t="s">
        <v>361</v>
      </c>
      <c r="J144" s="107"/>
      <c r="K144" s="107"/>
      <c r="L144" s="107"/>
      <c r="M144" s="107"/>
      <c r="N144" s="107" t="s">
        <v>343</v>
      </c>
      <c r="O144" s="107"/>
      <c r="P144" s="107"/>
      <c r="Q144" s="107"/>
      <c r="R144" s="107"/>
      <c r="S144" s="107"/>
      <c r="T144" s="107"/>
    </row>
    <row r="145" ht="12.75" customHeight="1">
      <c r="B145" s="107">
        <v>8.0</v>
      </c>
      <c r="C145" s="108" t="s">
        <v>375</v>
      </c>
      <c r="D145" s="109"/>
      <c r="E145" s="110">
        <v>2.0</v>
      </c>
      <c r="F145" s="110" t="s">
        <v>359</v>
      </c>
      <c r="G145" s="111" t="s">
        <v>376</v>
      </c>
      <c r="H145" s="111" t="s">
        <v>377</v>
      </c>
      <c r="I145" s="111" t="s">
        <v>361</v>
      </c>
      <c r="J145" s="107"/>
      <c r="K145" s="107"/>
      <c r="L145" s="107"/>
      <c r="M145" s="107"/>
      <c r="N145" s="111" t="s">
        <v>206</v>
      </c>
      <c r="O145" s="107"/>
      <c r="P145" s="107"/>
      <c r="Q145" s="107"/>
      <c r="R145" s="107"/>
      <c r="S145" s="107"/>
      <c r="T145" s="107"/>
    </row>
    <row r="146" ht="12.75" customHeight="1">
      <c r="B146" s="107"/>
      <c r="C146" s="107" t="s">
        <v>378</v>
      </c>
      <c r="D146" s="109" t="s">
        <v>379</v>
      </c>
      <c r="E146" s="110">
        <v>2.0</v>
      </c>
      <c r="F146" s="110" t="s">
        <v>359</v>
      </c>
      <c r="G146" s="111" t="s">
        <v>376</v>
      </c>
      <c r="H146" s="111" t="s">
        <v>377</v>
      </c>
      <c r="I146" s="111" t="s">
        <v>361</v>
      </c>
      <c r="J146" s="111" t="s">
        <v>380</v>
      </c>
      <c r="K146" s="107"/>
      <c r="L146" s="107"/>
      <c r="M146" s="107"/>
      <c r="N146" s="111" t="s">
        <v>206</v>
      </c>
      <c r="O146" s="107"/>
      <c r="P146" s="107"/>
      <c r="Q146" s="107"/>
      <c r="R146" s="107"/>
      <c r="S146" s="107"/>
      <c r="T146" s="107"/>
    </row>
    <row r="147" ht="12.75" customHeight="1">
      <c r="B147" s="107"/>
      <c r="C147" s="117" t="s">
        <v>381</v>
      </c>
      <c r="D147" s="109"/>
      <c r="E147" s="110">
        <v>2.0</v>
      </c>
      <c r="F147" s="110" t="s">
        <v>359</v>
      </c>
      <c r="G147" s="111" t="s">
        <v>376</v>
      </c>
      <c r="H147" s="111" t="s">
        <v>377</v>
      </c>
      <c r="I147" s="111" t="s">
        <v>361</v>
      </c>
      <c r="J147" s="107"/>
      <c r="K147" s="107"/>
      <c r="L147" s="107"/>
      <c r="M147" s="107"/>
      <c r="N147" s="111" t="s">
        <v>206</v>
      </c>
      <c r="O147" s="107"/>
      <c r="P147" s="107"/>
      <c r="Q147" s="107"/>
      <c r="R147" s="107"/>
      <c r="S147" s="107"/>
      <c r="T147" s="107"/>
    </row>
    <row r="148" ht="12.75" customHeight="1">
      <c r="B148" s="107"/>
      <c r="C148" s="117" t="s">
        <v>382</v>
      </c>
      <c r="D148" s="109"/>
      <c r="E148" s="110">
        <v>2.0</v>
      </c>
      <c r="F148" s="110" t="s">
        <v>359</v>
      </c>
      <c r="G148" s="111" t="s">
        <v>376</v>
      </c>
      <c r="H148" s="111" t="s">
        <v>377</v>
      </c>
      <c r="I148" s="111" t="s">
        <v>361</v>
      </c>
      <c r="J148" s="107"/>
      <c r="K148" s="107"/>
      <c r="L148" s="107"/>
      <c r="M148" s="107"/>
      <c r="N148" s="111" t="s">
        <v>206</v>
      </c>
      <c r="O148" s="107"/>
      <c r="P148" s="107"/>
      <c r="Q148" s="107"/>
      <c r="R148" s="107"/>
      <c r="S148" s="107"/>
      <c r="T148" s="107"/>
    </row>
    <row r="149" ht="12.75" customHeight="1">
      <c r="B149" s="107">
        <v>9.0</v>
      </c>
      <c r="C149" s="108" t="s">
        <v>383</v>
      </c>
      <c r="D149" s="109"/>
      <c r="E149" s="110">
        <v>1.0</v>
      </c>
      <c r="F149" s="110" t="s">
        <v>359</v>
      </c>
      <c r="G149" s="111" t="s">
        <v>384</v>
      </c>
      <c r="H149" s="111" t="s">
        <v>385</v>
      </c>
      <c r="I149" s="111" t="s">
        <v>361</v>
      </c>
      <c r="J149" s="107"/>
      <c r="K149" s="107"/>
      <c r="L149" s="107"/>
      <c r="M149" s="107"/>
      <c r="N149" s="111" t="s">
        <v>206</v>
      </c>
      <c r="O149" s="107"/>
      <c r="P149" s="107"/>
      <c r="Q149" s="107"/>
      <c r="R149" s="107"/>
      <c r="S149" s="107"/>
      <c r="T149" s="107"/>
    </row>
    <row r="150" ht="12.75" customHeight="1">
      <c r="B150" s="107"/>
      <c r="C150" s="111" t="s">
        <v>386</v>
      </c>
      <c r="D150" s="109" t="s">
        <v>387</v>
      </c>
      <c r="E150" s="110">
        <v>1.0</v>
      </c>
      <c r="F150" s="110" t="s">
        <v>359</v>
      </c>
      <c r="G150" s="111" t="s">
        <v>384</v>
      </c>
      <c r="H150" s="111" t="s">
        <v>385</v>
      </c>
      <c r="I150" s="111" t="s">
        <v>361</v>
      </c>
      <c r="J150" s="107"/>
      <c r="K150" s="107"/>
      <c r="L150" s="107"/>
      <c r="M150" s="107"/>
      <c r="N150" s="111" t="s">
        <v>206</v>
      </c>
      <c r="O150" s="107"/>
      <c r="P150" s="107"/>
      <c r="Q150" s="107"/>
      <c r="R150" s="107"/>
      <c r="S150" s="107"/>
      <c r="T150" s="107"/>
    </row>
    <row r="151" ht="12.75" customHeight="1">
      <c r="B151" s="107"/>
      <c r="C151" s="117" t="s">
        <v>388</v>
      </c>
      <c r="D151" s="109"/>
      <c r="E151" s="110">
        <v>1.0</v>
      </c>
      <c r="F151" s="110" t="s">
        <v>359</v>
      </c>
      <c r="G151" s="111" t="s">
        <v>384</v>
      </c>
      <c r="H151" s="111" t="s">
        <v>385</v>
      </c>
      <c r="I151" s="111" t="s">
        <v>361</v>
      </c>
      <c r="J151" s="107"/>
      <c r="K151" s="107"/>
      <c r="L151" s="107"/>
      <c r="M151" s="107"/>
      <c r="N151" s="111" t="s">
        <v>206</v>
      </c>
      <c r="O151" s="107"/>
      <c r="P151" s="107"/>
      <c r="Q151" s="107"/>
      <c r="R151" s="107"/>
      <c r="S151" s="107"/>
      <c r="T151" s="107"/>
    </row>
    <row r="152" ht="12.75" customHeight="1">
      <c r="B152" s="107"/>
      <c r="C152" s="117" t="s">
        <v>389</v>
      </c>
      <c r="D152" s="109"/>
      <c r="E152" s="110">
        <v>1.0</v>
      </c>
      <c r="F152" s="110" t="s">
        <v>359</v>
      </c>
      <c r="G152" s="111" t="s">
        <v>384</v>
      </c>
      <c r="H152" s="111" t="s">
        <v>385</v>
      </c>
      <c r="I152" s="111" t="s">
        <v>361</v>
      </c>
      <c r="J152" s="107"/>
      <c r="K152" s="107"/>
      <c r="L152" s="107"/>
      <c r="M152" s="107"/>
      <c r="N152" s="111" t="s">
        <v>206</v>
      </c>
      <c r="O152" s="107"/>
      <c r="P152" s="107"/>
      <c r="Q152" s="107"/>
      <c r="R152" s="107"/>
      <c r="S152" s="107"/>
      <c r="T152" s="107"/>
    </row>
    <row r="153" ht="12.75" customHeight="1">
      <c r="B153" s="107">
        <v>10.0</v>
      </c>
      <c r="C153" s="108" t="s">
        <v>390</v>
      </c>
      <c r="D153" s="109" t="s">
        <v>391</v>
      </c>
      <c r="E153" s="110">
        <v>1.0</v>
      </c>
      <c r="F153" s="110" t="s">
        <v>359</v>
      </c>
      <c r="G153" s="111" t="s">
        <v>384</v>
      </c>
      <c r="H153" s="111" t="s">
        <v>385</v>
      </c>
      <c r="I153" s="111" t="s">
        <v>361</v>
      </c>
      <c r="J153" s="107"/>
      <c r="K153" s="107"/>
      <c r="L153" s="107"/>
      <c r="M153" s="107"/>
      <c r="N153" s="111" t="s">
        <v>206</v>
      </c>
      <c r="O153" s="107"/>
      <c r="P153" s="107"/>
      <c r="Q153" s="107"/>
      <c r="R153" s="107"/>
      <c r="S153" s="107"/>
      <c r="T153" s="107"/>
    </row>
    <row r="154" ht="12.75" customHeight="1">
      <c r="B154" s="107"/>
      <c r="C154" s="117" t="s">
        <v>392</v>
      </c>
      <c r="D154" s="109" t="s">
        <v>393</v>
      </c>
      <c r="E154" s="110">
        <v>1.0</v>
      </c>
      <c r="F154" s="110" t="s">
        <v>359</v>
      </c>
      <c r="G154" s="111" t="s">
        <v>384</v>
      </c>
      <c r="H154" s="111" t="s">
        <v>385</v>
      </c>
      <c r="I154" s="111" t="s">
        <v>361</v>
      </c>
      <c r="J154" s="107"/>
      <c r="K154" s="107"/>
      <c r="L154" s="107"/>
      <c r="M154" s="107"/>
      <c r="N154" s="111" t="s">
        <v>206</v>
      </c>
      <c r="O154" s="107"/>
      <c r="P154" s="107"/>
      <c r="Q154" s="107"/>
      <c r="R154" s="107"/>
      <c r="S154" s="107"/>
      <c r="T154" s="107"/>
    </row>
    <row r="155" ht="12.75" customHeight="1">
      <c r="B155" s="107"/>
      <c r="C155" s="117" t="s">
        <v>394</v>
      </c>
      <c r="D155" s="109" t="s">
        <v>395</v>
      </c>
      <c r="E155" s="110">
        <v>1.0</v>
      </c>
      <c r="F155" s="110" t="s">
        <v>359</v>
      </c>
      <c r="G155" s="111" t="s">
        <v>384</v>
      </c>
      <c r="H155" s="111" t="s">
        <v>385</v>
      </c>
      <c r="I155" s="111" t="s">
        <v>361</v>
      </c>
      <c r="J155" s="107"/>
      <c r="K155" s="107"/>
      <c r="L155" s="107"/>
      <c r="M155" s="107"/>
      <c r="N155" s="111" t="s">
        <v>206</v>
      </c>
      <c r="O155" s="107"/>
      <c r="P155" s="107"/>
      <c r="Q155" s="107"/>
      <c r="R155" s="107"/>
      <c r="S155" s="107"/>
      <c r="T155" s="107"/>
    </row>
    <row r="156" ht="12.75" customHeight="1">
      <c r="B156" s="107">
        <v>11.0</v>
      </c>
      <c r="C156" s="108" t="s">
        <v>396</v>
      </c>
      <c r="D156" s="109" t="s">
        <v>397</v>
      </c>
      <c r="E156" s="110">
        <v>2.0</v>
      </c>
      <c r="F156" s="110" t="s">
        <v>398</v>
      </c>
      <c r="G156" s="111" t="s">
        <v>396</v>
      </c>
      <c r="H156" s="111" t="s">
        <v>399</v>
      </c>
      <c r="I156" s="111" t="s">
        <v>246</v>
      </c>
      <c r="J156" s="107"/>
      <c r="K156" s="107"/>
      <c r="L156" s="107"/>
      <c r="M156" s="107"/>
      <c r="N156" s="111" t="s">
        <v>206</v>
      </c>
      <c r="O156" s="107"/>
      <c r="P156" s="107"/>
      <c r="Q156" s="107"/>
      <c r="R156" s="107"/>
      <c r="S156" s="107"/>
      <c r="T156" s="107"/>
    </row>
    <row r="157" ht="12.75" customHeight="1">
      <c r="B157" s="107"/>
      <c r="C157" s="111" t="s">
        <v>400</v>
      </c>
      <c r="D157" s="109" t="s">
        <v>314</v>
      </c>
      <c r="E157" s="110">
        <v>2.0</v>
      </c>
      <c r="F157" s="110" t="s">
        <v>398</v>
      </c>
      <c r="G157" s="111" t="s">
        <v>396</v>
      </c>
      <c r="H157" s="111" t="s">
        <v>399</v>
      </c>
      <c r="I157" s="111" t="s">
        <v>246</v>
      </c>
      <c r="J157" s="107"/>
      <c r="K157" s="107"/>
      <c r="L157" s="107"/>
      <c r="M157" s="107"/>
      <c r="N157" s="111" t="s">
        <v>206</v>
      </c>
      <c r="O157" s="107"/>
      <c r="P157" s="107"/>
      <c r="Q157" s="107"/>
      <c r="R157" s="107"/>
      <c r="S157" s="107"/>
      <c r="T157" s="107"/>
    </row>
    <row r="158" ht="12.75" customHeight="1">
      <c r="B158" s="107"/>
      <c r="C158" s="111" t="s">
        <v>401</v>
      </c>
      <c r="D158" s="109" t="s">
        <v>402</v>
      </c>
      <c r="E158" s="110">
        <v>2.0</v>
      </c>
      <c r="F158" s="110" t="s">
        <v>398</v>
      </c>
      <c r="G158" s="111" t="s">
        <v>396</v>
      </c>
      <c r="H158" s="111" t="s">
        <v>399</v>
      </c>
      <c r="I158" s="111" t="s">
        <v>246</v>
      </c>
      <c r="J158" s="107"/>
      <c r="K158" s="107"/>
      <c r="L158" s="107"/>
      <c r="M158" s="107"/>
      <c r="N158" s="111" t="s">
        <v>206</v>
      </c>
      <c r="O158" s="107"/>
      <c r="P158" s="107"/>
      <c r="Q158" s="107"/>
      <c r="R158" s="107"/>
      <c r="S158" s="107"/>
      <c r="T158" s="107"/>
    </row>
    <row r="159" ht="12.75" customHeight="1">
      <c r="B159" s="107"/>
      <c r="C159" s="111" t="s">
        <v>403</v>
      </c>
      <c r="D159" s="109" t="s">
        <v>393</v>
      </c>
      <c r="E159" s="110">
        <v>2.0</v>
      </c>
      <c r="F159" s="110" t="s">
        <v>398</v>
      </c>
      <c r="G159" s="111" t="s">
        <v>396</v>
      </c>
      <c r="H159" s="111" t="s">
        <v>399</v>
      </c>
      <c r="I159" s="111" t="s">
        <v>246</v>
      </c>
      <c r="J159" s="107"/>
      <c r="K159" s="107"/>
      <c r="L159" s="107"/>
      <c r="M159" s="107"/>
      <c r="N159" s="111" t="s">
        <v>206</v>
      </c>
      <c r="O159" s="107"/>
      <c r="P159" s="107"/>
      <c r="Q159" s="107"/>
      <c r="R159" s="107"/>
      <c r="S159" s="107"/>
      <c r="T159" s="107"/>
    </row>
    <row r="160" ht="12.75" customHeight="1">
      <c r="B160" s="107"/>
      <c r="C160" s="117" t="s">
        <v>404</v>
      </c>
      <c r="D160" s="109"/>
      <c r="E160" s="110">
        <v>2.0</v>
      </c>
      <c r="F160" s="110" t="s">
        <v>398</v>
      </c>
      <c r="G160" s="111" t="s">
        <v>396</v>
      </c>
      <c r="H160" s="111" t="s">
        <v>399</v>
      </c>
      <c r="I160" s="111" t="s">
        <v>246</v>
      </c>
      <c r="J160" s="107"/>
      <c r="K160" s="107"/>
      <c r="L160" s="107"/>
      <c r="M160" s="107"/>
      <c r="N160" s="111" t="s">
        <v>206</v>
      </c>
      <c r="O160" s="107"/>
      <c r="P160" s="107"/>
      <c r="Q160" s="107"/>
      <c r="R160" s="107"/>
      <c r="S160" s="107"/>
      <c r="T160" s="107"/>
    </row>
    <row r="161" ht="12.75" customHeight="1">
      <c r="B161" s="107"/>
      <c r="C161" s="117" t="s">
        <v>405</v>
      </c>
      <c r="D161" s="109"/>
      <c r="E161" s="110">
        <v>2.0</v>
      </c>
      <c r="F161" s="110" t="s">
        <v>398</v>
      </c>
      <c r="G161" s="111" t="s">
        <v>396</v>
      </c>
      <c r="H161" s="111" t="s">
        <v>399</v>
      </c>
      <c r="I161" s="111" t="s">
        <v>246</v>
      </c>
      <c r="J161" s="107"/>
      <c r="K161" s="107"/>
      <c r="L161" s="107"/>
      <c r="M161" s="107"/>
      <c r="N161" s="111" t="s">
        <v>206</v>
      </c>
      <c r="O161" s="107"/>
      <c r="P161" s="107"/>
      <c r="Q161" s="107"/>
      <c r="R161" s="107"/>
      <c r="S161" s="107"/>
      <c r="T161" s="107"/>
    </row>
    <row r="162" ht="12.75" customHeight="1">
      <c r="B162" s="107"/>
      <c r="C162" s="117" t="s">
        <v>406</v>
      </c>
      <c r="D162" s="109"/>
      <c r="E162" s="110">
        <v>2.0</v>
      </c>
      <c r="F162" s="110" t="s">
        <v>398</v>
      </c>
      <c r="G162" s="111" t="s">
        <v>396</v>
      </c>
      <c r="H162" s="111" t="s">
        <v>399</v>
      </c>
      <c r="I162" s="111" t="s">
        <v>246</v>
      </c>
      <c r="J162" s="107"/>
      <c r="K162" s="107"/>
      <c r="L162" s="107"/>
      <c r="M162" s="107"/>
      <c r="N162" s="111" t="s">
        <v>206</v>
      </c>
      <c r="O162" s="107"/>
      <c r="P162" s="107"/>
      <c r="Q162" s="107"/>
      <c r="R162" s="107"/>
      <c r="S162" s="107"/>
      <c r="T162" s="107"/>
    </row>
    <row r="163" ht="12.75" customHeight="1">
      <c r="B163" s="107"/>
      <c r="C163" s="117" t="s">
        <v>407</v>
      </c>
      <c r="D163" s="109"/>
      <c r="E163" s="110">
        <v>2.0</v>
      </c>
      <c r="F163" s="110" t="s">
        <v>398</v>
      </c>
      <c r="G163" s="111" t="s">
        <v>396</v>
      </c>
      <c r="H163" s="111" t="s">
        <v>399</v>
      </c>
      <c r="I163" s="111" t="s">
        <v>246</v>
      </c>
      <c r="J163" s="107"/>
      <c r="K163" s="107"/>
      <c r="L163" s="107"/>
      <c r="M163" s="107"/>
      <c r="N163" s="111" t="s">
        <v>206</v>
      </c>
      <c r="O163" s="107"/>
      <c r="P163" s="107"/>
      <c r="Q163" s="107"/>
      <c r="R163" s="107"/>
      <c r="S163" s="107"/>
      <c r="T163" s="107"/>
    </row>
    <row r="164" ht="12.75" customHeight="1">
      <c r="B164" s="107"/>
      <c r="C164" s="117" t="s">
        <v>408</v>
      </c>
      <c r="D164" s="109"/>
      <c r="E164" s="110">
        <v>2.0</v>
      </c>
      <c r="F164" s="110" t="s">
        <v>398</v>
      </c>
      <c r="G164" s="111" t="s">
        <v>396</v>
      </c>
      <c r="H164" s="111" t="s">
        <v>399</v>
      </c>
      <c r="I164" s="111" t="s">
        <v>246</v>
      </c>
      <c r="J164" s="107"/>
      <c r="K164" s="107"/>
      <c r="L164" s="107"/>
      <c r="M164" s="107"/>
      <c r="N164" s="111" t="s">
        <v>206</v>
      </c>
      <c r="O164" s="107"/>
      <c r="P164" s="107"/>
      <c r="Q164" s="107"/>
      <c r="R164" s="107"/>
      <c r="S164" s="107"/>
      <c r="T164" s="107"/>
    </row>
    <row r="165" ht="12.75" customHeight="1">
      <c r="B165" s="107"/>
      <c r="C165" s="117" t="s">
        <v>409</v>
      </c>
      <c r="D165" s="109"/>
      <c r="E165" s="110">
        <v>2.0</v>
      </c>
      <c r="F165" s="110" t="s">
        <v>398</v>
      </c>
      <c r="G165" s="111" t="s">
        <v>396</v>
      </c>
      <c r="H165" s="111" t="s">
        <v>399</v>
      </c>
      <c r="I165" s="111" t="s">
        <v>246</v>
      </c>
      <c r="J165" s="107"/>
      <c r="K165" s="107"/>
      <c r="L165" s="107"/>
      <c r="M165" s="107"/>
      <c r="N165" s="111" t="s">
        <v>206</v>
      </c>
      <c r="O165" s="107"/>
      <c r="P165" s="107"/>
      <c r="Q165" s="107"/>
      <c r="R165" s="107"/>
      <c r="S165" s="107"/>
      <c r="T165" s="107"/>
    </row>
    <row r="166" ht="12.75" customHeight="1">
      <c r="B166" s="107"/>
      <c r="C166" s="117" t="s">
        <v>410</v>
      </c>
      <c r="D166" s="109"/>
      <c r="E166" s="110">
        <v>2.0</v>
      </c>
      <c r="F166" s="110" t="s">
        <v>398</v>
      </c>
      <c r="G166" s="111" t="s">
        <v>396</v>
      </c>
      <c r="H166" s="111" t="s">
        <v>399</v>
      </c>
      <c r="I166" s="111" t="s">
        <v>246</v>
      </c>
      <c r="J166" s="107"/>
      <c r="K166" s="107"/>
      <c r="L166" s="107"/>
      <c r="M166" s="107"/>
      <c r="N166" s="111" t="s">
        <v>206</v>
      </c>
      <c r="O166" s="107"/>
      <c r="P166" s="107"/>
      <c r="Q166" s="107"/>
      <c r="R166" s="107"/>
      <c r="S166" s="107"/>
      <c r="T166" s="107"/>
    </row>
    <row r="167" ht="12.75" customHeight="1">
      <c r="B167" s="107"/>
      <c r="C167" s="117" t="s">
        <v>411</v>
      </c>
      <c r="D167" s="109"/>
      <c r="E167" s="110">
        <v>2.0</v>
      </c>
      <c r="F167" s="110" t="s">
        <v>398</v>
      </c>
      <c r="G167" s="111" t="s">
        <v>396</v>
      </c>
      <c r="H167" s="111" t="s">
        <v>399</v>
      </c>
      <c r="I167" s="111" t="s">
        <v>246</v>
      </c>
      <c r="J167" s="107"/>
      <c r="K167" s="107"/>
      <c r="L167" s="107"/>
      <c r="M167" s="107"/>
      <c r="N167" s="111" t="s">
        <v>206</v>
      </c>
      <c r="O167" s="107"/>
      <c r="P167" s="107"/>
      <c r="Q167" s="107"/>
      <c r="R167" s="107"/>
      <c r="S167" s="107"/>
      <c r="T167" s="107"/>
    </row>
    <row r="168" ht="12.75" customHeight="1">
      <c r="B168" s="107"/>
      <c r="C168" s="117" t="s">
        <v>412</v>
      </c>
      <c r="D168" s="109"/>
      <c r="E168" s="110">
        <v>2.0</v>
      </c>
      <c r="F168" s="110" t="s">
        <v>398</v>
      </c>
      <c r="G168" s="111" t="s">
        <v>396</v>
      </c>
      <c r="H168" s="111" t="s">
        <v>399</v>
      </c>
      <c r="I168" s="111" t="s">
        <v>246</v>
      </c>
      <c r="J168" s="107"/>
      <c r="K168" s="107"/>
      <c r="L168" s="107"/>
      <c r="M168" s="107"/>
      <c r="N168" s="111" t="s">
        <v>206</v>
      </c>
      <c r="O168" s="107"/>
      <c r="P168" s="107"/>
      <c r="Q168" s="107"/>
      <c r="R168" s="107"/>
      <c r="S168" s="107"/>
      <c r="T168" s="107"/>
    </row>
    <row r="169" ht="12.75" customHeight="1">
      <c r="B169" s="107"/>
      <c r="C169" s="117" t="s">
        <v>413</v>
      </c>
      <c r="D169" s="109"/>
      <c r="E169" s="110">
        <v>2.0</v>
      </c>
      <c r="F169" s="110" t="s">
        <v>398</v>
      </c>
      <c r="G169" s="111" t="s">
        <v>396</v>
      </c>
      <c r="H169" s="111" t="s">
        <v>399</v>
      </c>
      <c r="I169" s="111" t="s">
        <v>246</v>
      </c>
      <c r="J169" s="107"/>
      <c r="K169" s="107"/>
      <c r="L169" s="107"/>
      <c r="M169" s="107"/>
      <c r="N169" s="111" t="s">
        <v>206</v>
      </c>
      <c r="O169" s="107"/>
      <c r="P169" s="107"/>
      <c r="Q169" s="107"/>
      <c r="R169" s="107"/>
      <c r="S169" s="107"/>
      <c r="T169" s="107"/>
    </row>
    <row r="170" ht="12.75" customHeight="1">
      <c r="B170" s="107"/>
      <c r="C170" s="117" t="s">
        <v>414</v>
      </c>
      <c r="D170" s="109"/>
      <c r="E170" s="110">
        <v>2.0</v>
      </c>
      <c r="F170" s="110" t="s">
        <v>398</v>
      </c>
      <c r="G170" s="111" t="s">
        <v>396</v>
      </c>
      <c r="H170" s="111" t="s">
        <v>399</v>
      </c>
      <c r="I170" s="111" t="s">
        <v>246</v>
      </c>
      <c r="J170" s="107"/>
      <c r="K170" s="107"/>
      <c r="L170" s="107"/>
      <c r="M170" s="107"/>
      <c r="N170" s="111" t="s">
        <v>206</v>
      </c>
      <c r="O170" s="107"/>
      <c r="P170" s="107"/>
      <c r="Q170" s="107"/>
      <c r="R170" s="107"/>
      <c r="S170" s="107"/>
      <c r="T170" s="107"/>
    </row>
    <row r="171" ht="12.75" customHeight="1">
      <c r="B171" s="107"/>
      <c r="C171" s="117" t="s">
        <v>415</v>
      </c>
      <c r="D171" s="109"/>
      <c r="E171" s="110">
        <v>2.0</v>
      </c>
      <c r="F171" s="110" t="s">
        <v>398</v>
      </c>
      <c r="G171" s="111" t="s">
        <v>396</v>
      </c>
      <c r="H171" s="111" t="s">
        <v>399</v>
      </c>
      <c r="I171" s="111" t="s">
        <v>246</v>
      </c>
      <c r="J171" s="107"/>
      <c r="K171" s="107"/>
      <c r="L171" s="107"/>
      <c r="M171" s="107"/>
      <c r="N171" s="111" t="s">
        <v>206</v>
      </c>
      <c r="O171" s="107"/>
      <c r="P171" s="107"/>
      <c r="Q171" s="107"/>
      <c r="R171" s="107"/>
      <c r="S171" s="107"/>
      <c r="T171" s="107"/>
    </row>
    <row r="172" ht="12.75" customHeight="1">
      <c r="B172" s="107"/>
      <c r="C172" s="117" t="s">
        <v>416</v>
      </c>
      <c r="D172" s="109"/>
      <c r="E172" s="110">
        <v>2.0</v>
      </c>
      <c r="F172" s="110" t="s">
        <v>398</v>
      </c>
      <c r="G172" s="111" t="s">
        <v>396</v>
      </c>
      <c r="H172" s="111" t="s">
        <v>399</v>
      </c>
      <c r="I172" s="111" t="s">
        <v>246</v>
      </c>
      <c r="J172" s="107"/>
      <c r="K172" s="107"/>
      <c r="L172" s="107"/>
      <c r="M172" s="107"/>
      <c r="N172" s="111" t="s">
        <v>206</v>
      </c>
      <c r="O172" s="107"/>
      <c r="P172" s="107"/>
      <c r="Q172" s="107"/>
      <c r="R172" s="107"/>
      <c r="S172" s="107"/>
      <c r="T172" s="107"/>
    </row>
    <row r="173" ht="12.75" customHeight="1">
      <c r="B173" s="107"/>
      <c r="C173" s="117" t="s">
        <v>417</v>
      </c>
      <c r="D173" s="109"/>
      <c r="E173" s="110">
        <v>2.0</v>
      </c>
      <c r="F173" s="110" t="s">
        <v>398</v>
      </c>
      <c r="G173" s="111" t="s">
        <v>396</v>
      </c>
      <c r="H173" s="111" t="s">
        <v>399</v>
      </c>
      <c r="I173" s="111" t="s">
        <v>246</v>
      </c>
      <c r="J173" s="107"/>
      <c r="K173" s="107"/>
      <c r="L173" s="107"/>
      <c r="M173" s="107"/>
      <c r="N173" s="111" t="s">
        <v>206</v>
      </c>
      <c r="O173" s="107"/>
      <c r="P173" s="107"/>
      <c r="Q173" s="107"/>
      <c r="R173" s="107"/>
      <c r="S173" s="107"/>
      <c r="T173" s="107"/>
    </row>
    <row r="174" ht="12.75" customHeight="1">
      <c r="B174" s="107"/>
      <c r="C174" s="117" t="s">
        <v>418</v>
      </c>
      <c r="D174" s="109"/>
      <c r="E174" s="110">
        <v>2.0</v>
      </c>
      <c r="F174" s="110" t="s">
        <v>398</v>
      </c>
      <c r="G174" s="111" t="s">
        <v>396</v>
      </c>
      <c r="H174" s="111" t="s">
        <v>399</v>
      </c>
      <c r="I174" s="111" t="s">
        <v>246</v>
      </c>
      <c r="J174" s="107"/>
      <c r="K174" s="107"/>
      <c r="L174" s="107"/>
      <c r="M174" s="107"/>
      <c r="N174" s="111" t="s">
        <v>206</v>
      </c>
      <c r="O174" s="107"/>
      <c r="P174" s="107"/>
      <c r="Q174" s="107"/>
      <c r="R174" s="107"/>
      <c r="S174" s="107"/>
      <c r="T174" s="107"/>
    </row>
    <row r="175" ht="12.75" customHeight="1">
      <c r="B175" s="107"/>
      <c r="C175" s="117" t="s">
        <v>419</v>
      </c>
      <c r="D175" s="109"/>
      <c r="E175" s="110">
        <v>2.0</v>
      </c>
      <c r="F175" s="110" t="s">
        <v>398</v>
      </c>
      <c r="G175" s="111" t="s">
        <v>396</v>
      </c>
      <c r="H175" s="111" t="s">
        <v>399</v>
      </c>
      <c r="I175" s="111" t="s">
        <v>246</v>
      </c>
      <c r="J175" s="107"/>
      <c r="K175" s="107"/>
      <c r="L175" s="107"/>
      <c r="M175" s="107"/>
      <c r="N175" s="111" t="s">
        <v>206</v>
      </c>
      <c r="O175" s="107"/>
      <c r="P175" s="107"/>
      <c r="Q175" s="107"/>
      <c r="R175" s="107"/>
      <c r="S175" s="107"/>
      <c r="T175" s="107"/>
    </row>
    <row r="176" ht="12.75" customHeight="1">
      <c r="B176" s="107"/>
      <c r="C176" s="117" t="s">
        <v>420</v>
      </c>
      <c r="D176" s="109"/>
      <c r="E176" s="110">
        <v>2.0</v>
      </c>
      <c r="F176" s="110" t="s">
        <v>398</v>
      </c>
      <c r="G176" s="111" t="s">
        <v>396</v>
      </c>
      <c r="H176" s="111" t="s">
        <v>399</v>
      </c>
      <c r="I176" s="111" t="s">
        <v>246</v>
      </c>
      <c r="J176" s="107"/>
      <c r="K176" s="107"/>
      <c r="L176" s="107"/>
      <c r="M176" s="107"/>
      <c r="N176" s="111" t="s">
        <v>206</v>
      </c>
      <c r="O176" s="107"/>
      <c r="P176" s="107"/>
      <c r="Q176" s="107"/>
      <c r="R176" s="107"/>
      <c r="S176" s="107"/>
      <c r="T176" s="107"/>
    </row>
    <row r="177" ht="12.75" customHeight="1">
      <c r="B177" s="107"/>
      <c r="C177" s="117" t="s">
        <v>421</v>
      </c>
      <c r="D177" s="109"/>
      <c r="E177" s="110">
        <v>2.0</v>
      </c>
      <c r="F177" s="110" t="s">
        <v>398</v>
      </c>
      <c r="G177" s="111" t="s">
        <v>396</v>
      </c>
      <c r="H177" s="111" t="s">
        <v>399</v>
      </c>
      <c r="I177" s="111" t="s">
        <v>246</v>
      </c>
      <c r="J177" s="107"/>
      <c r="K177" s="107"/>
      <c r="L177" s="107"/>
      <c r="M177" s="107"/>
      <c r="N177" s="111" t="s">
        <v>206</v>
      </c>
      <c r="O177" s="107"/>
      <c r="P177" s="107"/>
      <c r="Q177" s="107"/>
      <c r="R177" s="107"/>
      <c r="S177" s="107"/>
      <c r="T177" s="107"/>
    </row>
    <row r="178" ht="12.75" customHeight="1">
      <c r="B178" s="107"/>
      <c r="C178" s="117" t="s">
        <v>422</v>
      </c>
      <c r="D178" s="109"/>
      <c r="E178" s="110">
        <v>2.0</v>
      </c>
      <c r="F178" s="110" t="s">
        <v>398</v>
      </c>
      <c r="G178" s="111" t="s">
        <v>396</v>
      </c>
      <c r="H178" s="111" t="s">
        <v>399</v>
      </c>
      <c r="I178" s="111" t="s">
        <v>246</v>
      </c>
      <c r="J178" s="107"/>
      <c r="K178" s="107"/>
      <c r="L178" s="107"/>
      <c r="M178" s="107"/>
      <c r="N178" s="111" t="s">
        <v>206</v>
      </c>
      <c r="O178" s="107"/>
      <c r="P178" s="107"/>
      <c r="Q178" s="107"/>
      <c r="R178" s="107"/>
      <c r="S178" s="107"/>
      <c r="T178" s="107"/>
    </row>
    <row r="179" ht="12.75" customHeight="1">
      <c r="B179" s="107"/>
      <c r="C179" s="117" t="s">
        <v>423</v>
      </c>
      <c r="D179" s="109"/>
      <c r="E179" s="110">
        <v>2.0</v>
      </c>
      <c r="F179" s="110" t="s">
        <v>398</v>
      </c>
      <c r="G179" s="111" t="s">
        <v>396</v>
      </c>
      <c r="H179" s="111" t="s">
        <v>399</v>
      </c>
      <c r="I179" s="111" t="s">
        <v>246</v>
      </c>
      <c r="J179" s="107"/>
      <c r="K179" s="107"/>
      <c r="L179" s="107"/>
      <c r="M179" s="107"/>
      <c r="N179" s="111" t="s">
        <v>206</v>
      </c>
      <c r="O179" s="107"/>
      <c r="P179" s="107"/>
      <c r="Q179" s="107"/>
      <c r="R179" s="107"/>
      <c r="S179" s="107"/>
      <c r="T179" s="107"/>
    </row>
    <row r="180" ht="12.75" customHeight="1">
      <c r="B180" s="107"/>
      <c r="C180" s="117" t="s">
        <v>424</v>
      </c>
      <c r="D180" s="109"/>
      <c r="E180" s="110">
        <v>2.0</v>
      </c>
      <c r="F180" s="110" t="s">
        <v>398</v>
      </c>
      <c r="G180" s="111" t="s">
        <v>396</v>
      </c>
      <c r="H180" s="111" t="s">
        <v>399</v>
      </c>
      <c r="I180" s="111" t="s">
        <v>246</v>
      </c>
      <c r="J180" s="107"/>
      <c r="K180" s="107"/>
      <c r="L180" s="107"/>
      <c r="M180" s="107"/>
      <c r="N180" s="111" t="s">
        <v>206</v>
      </c>
      <c r="O180" s="107"/>
      <c r="P180" s="107"/>
      <c r="Q180" s="107"/>
      <c r="R180" s="107"/>
      <c r="S180" s="107"/>
      <c r="T180" s="107"/>
    </row>
    <row r="181" ht="12.75" customHeight="1">
      <c r="B181" s="107"/>
      <c r="C181" s="117" t="s">
        <v>425</v>
      </c>
      <c r="D181" s="109"/>
      <c r="E181" s="110">
        <v>2.0</v>
      </c>
      <c r="F181" s="110" t="s">
        <v>398</v>
      </c>
      <c r="G181" s="111" t="s">
        <v>396</v>
      </c>
      <c r="H181" s="111" t="s">
        <v>399</v>
      </c>
      <c r="I181" s="111" t="s">
        <v>246</v>
      </c>
      <c r="J181" s="107"/>
      <c r="K181" s="107"/>
      <c r="L181" s="107"/>
      <c r="M181" s="107"/>
      <c r="N181" s="111" t="s">
        <v>206</v>
      </c>
      <c r="O181" s="107"/>
      <c r="P181" s="107"/>
      <c r="Q181" s="107"/>
      <c r="R181" s="107"/>
      <c r="S181" s="107"/>
      <c r="T181" s="107"/>
    </row>
    <row r="182" ht="12.75" customHeight="1">
      <c r="B182" s="107"/>
      <c r="C182" s="117" t="s">
        <v>426</v>
      </c>
      <c r="D182" s="109"/>
      <c r="E182" s="110">
        <v>2.0</v>
      </c>
      <c r="F182" s="110" t="s">
        <v>398</v>
      </c>
      <c r="G182" s="111" t="s">
        <v>396</v>
      </c>
      <c r="H182" s="111" t="s">
        <v>399</v>
      </c>
      <c r="I182" s="111" t="s">
        <v>246</v>
      </c>
      <c r="J182" s="107"/>
      <c r="K182" s="107"/>
      <c r="L182" s="107"/>
      <c r="M182" s="107"/>
      <c r="N182" s="111" t="s">
        <v>206</v>
      </c>
      <c r="O182" s="107"/>
      <c r="P182" s="107"/>
      <c r="Q182" s="107"/>
      <c r="R182" s="107"/>
      <c r="S182" s="107"/>
      <c r="T182" s="107"/>
    </row>
    <row r="183" ht="12.75" customHeight="1">
      <c r="B183" s="107"/>
      <c r="C183" s="108" t="s">
        <v>427</v>
      </c>
      <c r="D183" s="109"/>
      <c r="E183" s="110">
        <v>2.0</v>
      </c>
      <c r="F183" s="110" t="s">
        <v>398</v>
      </c>
      <c r="G183" s="111" t="s">
        <v>396</v>
      </c>
      <c r="H183" s="111" t="s">
        <v>399</v>
      </c>
      <c r="I183" s="111" t="s">
        <v>246</v>
      </c>
      <c r="J183" s="107"/>
      <c r="K183" s="107"/>
      <c r="L183" s="107"/>
      <c r="M183" s="107"/>
      <c r="N183" s="111" t="s">
        <v>206</v>
      </c>
      <c r="O183" s="107"/>
      <c r="P183" s="107"/>
      <c r="Q183" s="107"/>
      <c r="R183" s="107"/>
      <c r="S183" s="107"/>
      <c r="T183" s="107"/>
    </row>
    <row r="184" ht="12.75" customHeight="1">
      <c r="B184" s="107"/>
      <c r="C184" s="117" t="s">
        <v>428</v>
      </c>
      <c r="D184" s="109"/>
      <c r="E184" s="110">
        <v>2.0</v>
      </c>
      <c r="F184" s="110" t="s">
        <v>398</v>
      </c>
      <c r="G184" s="111" t="s">
        <v>396</v>
      </c>
      <c r="H184" s="111" t="s">
        <v>399</v>
      </c>
      <c r="I184" s="111" t="s">
        <v>246</v>
      </c>
      <c r="J184" s="107"/>
      <c r="K184" s="107"/>
      <c r="L184" s="107"/>
      <c r="M184" s="107"/>
      <c r="N184" s="111" t="s">
        <v>206</v>
      </c>
      <c r="O184" s="107"/>
      <c r="P184" s="107"/>
      <c r="Q184" s="107"/>
      <c r="R184" s="107"/>
      <c r="S184" s="107"/>
      <c r="T184" s="107"/>
    </row>
    <row r="185" ht="12.75" customHeight="1">
      <c r="B185" s="107"/>
      <c r="C185" s="117" t="s">
        <v>429</v>
      </c>
      <c r="D185" s="109"/>
      <c r="E185" s="110">
        <v>2.0</v>
      </c>
      <c r="F185" s="110" t="s">
        <v>398</v>
      </c>
      <c r="G185" s="111" t="s">
        <v>396</v>
      </c>
      <c r="H185" s="111" t="s">
        <v>399</v>
      </c>
      <c r="I185" s="111" t="s">
        <v>246</v>
      </c>
      <c r="J185" s="107"/>
      <c r="K185" s="107"/>
      <c r="L185" s="107"/>
      <c r="M185" s="107"/>
      <c r="N185" s="111" t="s">
        <v>206</v>
      </c>
      <c r="O185" s="107"/>
      <c r="P185" s="107"/>
      <c r="Q185" s="107"/>
      <c r="R185" s="107"/>
      <c r="S185" s="107"/>
      <c r="T185" s="107"/>
    </row>
    <row r="186" ht="12.75" customHeight="1">
      <c r="B186" s="107"/>
      <c r="C186" s="117" t="s">
        <v>430</v>
      </c>
      <c r="D186" s="109"/>
      <c r="E186" s="110">
        <v>2.0</v>
      </c>
      <c r="F186" s="110" t="s">
        <v>398</v>
      </c>
      <c r="G186" s="111" t="s">
        <v>396</v>
      </c>
      <c r="H186" s="111" t="s">
        <v>399</v>
      </c>
      <c r="I186" s="111" t="s">
        <v>246</v>
      </c>
      <c r="J186" s="107"/>
      <c r="K186" s="107"/>
      <c r="L186" s="107"/>
      <c r="M186" s="107"/>
      <c r="N186" s="111" t="s">
        <v>206</v>
      </c>
      <c r="O186" s="107"/>
      <c r="P186" s="107"/>
      <c r="Q186" s="107"/>
      <c r="R186" s="107"/>
      <c r="S186" s="107"/>
      <c r="T186" s="107"/>
    </row>
    <row r="187" ht="12.75" customHeight="1">
      <c r="B187" s="107"/>
      <c r="C187" s="117" t="s">
        <v>431</v>
      </c>
      <c r="D187" s="109"/>
      <c r="E187" s="110">
        <v>2.0</v>
      </c>
      <c r="F187" s="110" t="s">
        <v>398</v>
      </c>
      <c r="G187" s="111" t="s">
        <v>396</v>
      </c>
      <c r="H187" s="111" t="s">
        <v>399</v>
      </c>
      <c r="I187" s="111" t="s">
        <v>246</v>
      </c>
      <c r="J187" s="107"/>
      <c r="K187" s="107"/>
      <c r="L187" s="107"/>
      <c r="M187" s="107"/>
      <c r="N187" s="111" t="s">
        <v>206</v>
      </c>
      <c r="O187" s="107"/>
      <c r="P187" s="107"/>
      <c r="Q187" s="107"/>
      <c r="R187" s="107"/>
      <c r="S187" s="107"/>
      <c r="T187" s="107"/>
    </row>
    <row r="188" ht="12.75" customHeight="1">
      <c r="B188" s="107"/>
      <c r="C188" s="117" t="s">
        <v>432</v>
      </c>
      <c r="D188" s="109"/>
      <c r="E188" s="110">
        <v>2.0</v>
      </c>
      <c r="F188" s="110" t="s">
        <v>398</v>
      </c>
      <c r="G188" s="111" t="s">
        <v>396</v>
      </c>
      <c r="H188" s="111" t="s">
        <v>399</v>
      </c>
      <c r="I188" s="111" t="s">
        <v>246</v>
      </c>
      <c r="J188" s="107"/>
      <c r="K188" s="107"/>
      <c r="L188" s="107"/>
      <c r="M188" s="107"/>
      <c r="N188" s="111" t="s">
        <v>206</v>
      </c>
      <c r="O188" s="107"/>
      <c r="P188" s="107"/>
      <c r="Q188" s="107"/>
      <c r="R188" s="107"/>
      <c r="S188" s="107"/>
      <c r="T188" s="107"/>
    </row>
    <row r="189" ht="12.75" customHeight="1">
      <c r="B189" s="107"/>
      <c r="C189" s="117" t="s">
        <v>433</v>
      </c>
      <c r="D189" s="109"/>
      <c r="E189" s="110">
        <v>2.0</v>
      </c>
      <c r="F189" s="110" t="s">
        <v>398</v>
      </c>
      <c r="G189" s="111" t="s">
        <v>396</v>
      </c>
      <c r="H189" s="111" t="s">
        <v>399</v>
      </c>
      <c r="I189" s="111" t="s">
        <v>246</v>
      </c>
      <c r="J189" s="107"/>
      <c r="K189" s="107"/>
      <c r="L189" s="107"/>
      <c r="M189" s="107"/>
      <c r="N189" s="111" t="s">
        <v>206</v>
      </c>
      <c r="O189" s="107"/>
      <c r="P189" s="107"/>
      <c r="Q189" s="107"/>
      <c r="R189" s="107"/>
      <c r="S189" s="107"/>
      <c r="T189" s="107"/>
    </row>
    <row r="190" ht="12.75" customHeight="1">
      <c r="B190" s="107"/>
      <c r="C190" s="117" t="s">
        <v>434</v>
      </c>
      <c r="D190" s="109"/>
      <c r="E190" s="110">
        <v>2.0</v>
      </c>
      <c r="F190" s="110" t="s">
        <v>398</v>
      </c>
      <c r="G190" s="111" t="s">
        <v>396</v>
      </c>
      <c r="H190" s="111" t="s">
        <v>399</v>
      </c>
      <c r="I190" s="111" t="s">
        <v>246</v>
      </c>
      <c r="J190" s="107"/>
      <c r="K190" s="107"/>
      <c r="L190" s="107"/>
      <c r="M190" s="107"/>
      <c r="N190" s="111" t="s">
        <v>206</v>
      </c>
      <c r="O190" s="107"/>
      <c r="P190" s="107"/>
      <c r="Q190" s="107"/>
      <c r="R190" s="107"/>
      <c r="S190" s="107"/>
      <c r="T190" s="107"/>
    </row>
    <row r="191" ht="12.75" customHeight="1">
      <c r="B191" s="107"/>
      <c r="C191" s="117" t="s">
        <v>435</v>
      </c>
      <c r="D191" s="109"/>
      <c r="E191" s="110">
        <v>2.0</v>
      </c>
      <c r="F191" s="110" t="s">
        <v>398</v>
      </c>
      <c r="G191" s="111" t="s">
        <v>396</v>
      </c>
      <c r="H191" s="111" t="s">
        <v>399</v>
      </c>
      <c r="I191" s="111" t="s">
        <v>246</v>
      </c>
      <c r="J191" s="107"/>
      <c r="K191" s="107"/>
      <c r="L191" s="107"/>
      <c r="M191" s="107"/>
      <c r="N191" s="111" t="s">
        <v>206</v>
      </c>
      <c r="O191" s="107"/>
      <c r="P191" s="107"/>
      <c r="Q191" s="107"/>
      <c r="R191" s="107"/>
      <c r="S191" s="107"/>
      <c r="T191" s="107"/>
    </row>
    <row r="192" ht="12.75" customHeight="1">
      <c r="B192" s="107"/>
      <c r="C192" s="117" t="s">
        <v>436</v>
      </c>
      <c r="D192" s="109"/>
      <c r="E192" s="110">
        <v>2.0</v>
      </c>
      <c r="F192" s="110" t="s">
        <v>398</v>
      </c>
      <c r="G192" s="111" t="s">
        <v>396</v>
      </c>
      <c r="H192" s="111" t="s">
        <v>399</v>
      </c>
      <c r="I192" s="111" t="s">
        <v>246</v>
      </c>
      <c r="J192" s="107"/>
      <c r="K192" s="107"/>
      <c r="L192" s="107"/>
      <c r="M192" s="107"/>
      <c r="N192" s="111" t="s">
        <v>206</v>
      </c>
      <c r="O192" s="107"/>
      <c r="P192" s="107"/>
      <c r="Q192" s="107"/>
      <c r="R192" s="107"/>
      <c r="S192" s="107"/>
      <c r="T192" s="107"/>
    </row>
    <row r="193" ht="12.75" customHeight="1">
      <c r="B193" s="107"/>
      <c r="C193" s="117" t="s">
        <v>437</v>
      </c>
      <c r="D193" s="109"/>
      <c r="E193" s="110">
        <v>2.0</v>
      </c>
      <c r="F193" s="110" t="s">
        <v>398</v>
      </c>
      <c r="G193" s="111" t="s">
        <v>396</v>
      </c>
      <c r="H193" s="111" t="s">
        <v>399</v>
      </c>
      <c r="I193" s="111" t="s">
        <v>246</v>
      </c>
      <c r="J193" s="107"/>
      <c r="K193" s="107"/>
      <c r="L193" s="107"/>
      <c r="M193" s="107"/>
      <c r="N193" s="111" t="s">
        <v>206</v>
      </c>
      <c r="O193" s="107"/>
      <c r="P193" s="107"/>
      <c r="Q193" s="107"/>
      <c r="R193" s="107"/>
      <c r="S193" s="107"/>
      <c r="T193" s="107"/>
    </row>
    <row r="194" ht="12.75" customHeight="1">
      <c r="B194" s="107"/>
      <c r="C194" s="117" t="s">
        <v>438</v>
      </c>
      <c r="D194" s="109"/>
      <c r="E194" s="110">
        <v>2.0</v>
      </c>
      <c r="F194" s="110" t="s">
        <v>398</v>
      </c>
      <c r="G194" s="111" t="s">
        <v>396</v>
      </c>
      <c r="H194" s="111" t="s">
        <v>399</v>
      </c>
      <c r="I194" s="111" t="s">
        <v>246</v>
      </c>
      <c r="J194" s="107"/>
      <c r="K194" s="107"/>
      <c r="L194" s="107"/>
      <c r="M194" s="107"/>
      <c r="N194" s="111" t="s">
        <v>206</v>
      </c>
      <c r="O194" s="107"/>
      <c r="P194" s="107"/>
      <c r="Q194" s="107"/>
      <c r="R194" s="107"/>
      <c r="S194" s="107"/>
      <c r="T194" s="107"/>
    </row>
    <row r="195" ht="12.75" customHeight="1">
      <c r="B195" s="107"/>
      <c r="C195" s="117" t="s">
        <v>439</v>
      </c>
      <c r="D195" s="109"/>
      <c r="E195" s="110">
        <v>2.0</v>
      </c>
      <c r="F195" s="110" t="s">
        <v>398</v>
      </c>
      <c r="G195" s="111" t="s">
        <v>396</v>
      </c>
      <c r="H195" s="111" t="s">
        <v>399</v>
      </c>
      <c r="I195" s="111" t="s">
        <v>246</v>
      </c>
      <c r="J195" s="107"/>
      <c r="K195" s="107"/>
      <c r="L195" s="107"/>
      <c r="M195" s="107"/>
      <c r="N195" s="111" t="s">
        <v>206</v>
      </c>
      <c r="O195" s="107"/>
      <c r="P195" s="107"/>
      <c r="Q195" s="107"/>
      <c r="R195" s="107"/>
      <c r="S195" s="107"/>
      <c r="T195" s="107"/>
    </row>
    <row r="196" ht="12.75" customHeight="1">
      <c r="B196" s="107"/>
      <c r="C196" s="117" t="s">
        <v>440</v>
      </c>
      <c r="D196" s="109"/>
      <c r="E196" s="110">
        <v>2.0</v>
      </c>
      <c r="F196" s="110" t="s">
        <v>398</v>
      </c>
      <c r="G196" s="111" t="s">
        <v>396</v>
      </c>
      <c r="H196" s="111" t="s">
        <v>399</v>
      </c>
      <c r="I196" s="111" t="s">
        <v>246</v>
      </c>
      <c r="J196" s="107"/>
      <c r="K196" s="107"/>
      <c r="L196" s="107"/>
      <c r="M196" s="107"/>
      <c r="N196" s="111" t="s">
        <v>206</v>
      </c>
      <c r="O196" s="107"/>
      <c r="P196" s="107"/>
      <c r="Q196" s="107"/>
      <c r="R196" s="107"/>
      <c r="S196" s="107"/>
      <c r="T196" s="107"/>
    </row>
    <row r="197" ht="12.75" customHeight="1">
      <c r="B197" s="107"/>
      <c r="C197" s="117" t="s">
        <v>441</v>
      </c>
      <c r="D197" s="109"/>
      <c r="E197" s="110">
        <v>2.0</v>
      </c>
      <c r="F197" s="110" t="s">
        <v>398</v>
      </c>
      <c r="G197" s="111" t="s">
        <v>396</v>
      </c>
      <c r="H197" s="111" t="s">
        <v>399</v>
      </c>
      <c r="I197" s="111" t="s">
        <v>246</v>
      </c>
      <c r="J197" s="107"/>
      <c r="K197" s="107"/>
      <c r="L197" s="107"/>
      <c r="M197" s="107"/>
      <c r="N197" s="111" t="s">
        <v>206</v>
      </c>
      <c r="O197" s="107"/>
      <c r="P197" s="107"/>
      <c r="Q197" s="107"/>
      <c r="R197" s="107"/>
      <c r="S197" s="107"/>
      <c r="T197" s="107"/>
    </row>
    <row r="198" ht="12.75" customHeight="1">
      <c r="B198" s="107"/>
      <c r="C198" s="117" t="s">
        <v>442</v>
      </c>
      <c r="D198" s="109"/>
      <c r="E198" s="110">
        <v>2.0</v>
      </c>
      <c r="F198" s="110" t="s">
        <v>398</v>
      </c>
      <c r="G198" s="111" t="s">
        <v>396</v>
      </c>
      <c r="H198" s="111" t="s">
        <v>399</v>
      </c>
      <c r="I198" s="111" t="s">
        <v>246</v>
      </c>
      <c r="J198" s="107"/>
      <c r="K198" s="107"/>
      <c r="L198" s="107"/>
      <c r="M198" s="107"/>
      <c r="N198" s="111" t="s">
        <v>206</v>
      </c>
      <c r="O198" s="107"/>
      <c r="P198" s="107"/>
      <c r="Q198" s="107"/>
      <c r="R198" s="107"/>
      <c r="S198" s="107"/>
      <c r="T198" s="107"/>
    </row>
    <row r="199" ht="12.75" customHeight="1">
      <c r="B199" s="107"/>
      <c r="C199" s="107" t="s">
        <v>443</v>
      </c>
      <c r="D199" s="109"/>
      <c r="E199" s="110">
        <v>2.0</v>
      </c>
      <c r="F199" s="110" t="s">
        <v>398</v>
      </c>
      <c r="G199" s="111" t="s">
        <v>396</v>
      </c>
      <c r="H199" s="111" t="s">
        <v>399</v>
      </c>
      <c r="I199" s="111" t="s">
        <v>246</v>
      </c>
      <c r="J199" s="107"/>
      <c r="K199" s="107"/>
      <c r="L199" s="107"/>
      <c r="M199" s="107"/>
      <c r="N199" s="111" t="s">
        <v>206</v>
      </c>
      <c r="O199" s="107"/>
      <c r="P199" s="107"/>
      <c r="Q199" s="107"/>
      <c r="R199" s="107"/>
      <c r="S199" s="107"/>
      <c r="T199" s="107"/>
    </row>
    <row r="200" ht="12.75" customHeight="1">
      <c r="B200" s="107"/>
      <c r="C200" s="117" t="s">
        <v>444</v>
      </c>
      <c r="D200" s="109"/>
      <c r="E200" s="110">
        <v>2.0</v>
      </c>
      <c r="F200" s="110" t="s">
        <v>398</v>
      </c>
      <c r="G200" s="111" t="s">
        <v>396</v>
      </c>
      <c r="H200" s="111" t="s">
        <v>399</v>
      </c>
      <c r="I200" s="111" t="s">
        <v>246</v>
      </c>
      <c r="J200" s="107"/>
      <c r="K200" s="107"/>
      <c r="L200" s="107"/>
      <c r="M200" s="107"/>
      <c r="N200" s="111" t="s">
        <v>206</v>
      </c>
      <c r="O200" s="107"/>
      <c r="P200" s="107"/>
      <c r="Q200" s="107"/>
      <c r="R200" s="107"/>
      <c r="S200" s="107"/>
      <c r="T200" s="107"/>
    </row>
    <row r="201" ht="12.75" customHeight="1">
      <c r="B201" s="107"/>
      <c r="C201" s="117" t="s">
        <v>445</v>
      </c>
      <c r="D201" s="109"/>
      <c r="E201" s="110">
        <v>2.0</v>
      </c>
      <c r="F201" s="110" t="s">
        <v>398</v>
      </c>
      <c r="G201" s="111" t="s">
        <v>396</v>
      </c>
      <c r="H201" s="111" t="s">
        <v>399</v>
      </c>
      <c r="I201" s="111" t="s">
        <v>246</v>
      </c>
      <c r="J201" s="107"/>
      <c r="K201" s="107"/>
      <c r="L201" s="107"/>
      <c r="M201" s="107"/>
      <c r="N201" s="111" t="s">
        <v>206</v>
      </c>
      <c r="O201" s="107"/>
      <c r="P201" s="107"/>
      <c r="Q201" s="107"/>
      <c r="R201" s="107"/>
      <c r="S201" s="107"/>
      <c r="T201" s="107"/>
    </row>
    <row r="202" ht="12.75" customHeight="1">
      <c r="B202" s="107">
        <v>12.0</v>
      </c>
      <c r="C202" s="108" t="s">
        <v>269</v>
      </c>
      <c r="D202" s="109" t="s">
        <v>446</v>
      </c>
      <c r="E202" s="110">
        <v>1.0</v>
      </c>
      <c r="F202" s="110" t="s">
        <v>447</v>
      </c>
      <c r="G202" s="107"/>
      <c r="H202" s="107"/>
      <c r="I202" s="107"/>
      <c r="J202" s="107"/>
      <c r="K202" s="107"/>
      <c r="L202" s="107"/>
      <c r="M202" s="107"/>
      <c r="N202" s="111" t="s">
        <v>206</v>
      </c>
      <c r="O202" s="107"/>
      <c r="P202" s="107"/>
      <c r="Q202" s="107"/>
      <c r="R202" s="107"/>
      <c r="S202" s="107"/>
      <c r="T202" s="107"/>
    </row>
    <row r="203" ht="12.75" customHeight="1">
      <c r="B203" s="107">
        <v>13.0</v>
      </c>
      <c r="C203" s="108" t="s">
        <v>448</v>
      </c>
      <c r="D203" s="109" t="s">
        <v>252</v>
      </c>
      <c r="E203" s="110">
        <v>1.0</v>
      </c>
      <c r="F203" s="110" t="s">
        <v>449</v>
      </c>
      <c r="G203" s="107"/>
      <c r="H203" s="107"/>
      <c r="I203" s="107"/>
      <c r="J203" s="107"/>
      <c r="K203" s="107"/>
      <c r="L203" s="107"/>
      <c r="M203" s="107"/>
      <c r="N203" s="111" t="s">
        <v>206</v>
      </c>
      <c r="O203" s="107"/>
      <c r="P203" s="107"/>
      <c r="Q203" s="107"/>
      <c r="R203" s="107"/>
      <c r="S203" s="107"/>
      <c r="T203" s="107"/>
    </row>
    <row r="204" ht="12.75" customHeight="1">
      <c r="B204" s="107">
        <v>14.0</v>
      </c>
      <c r="C204" s="108" t="s">
        <v>450</v>
      </c>
      <c r="D204" s="109"/>
      <c r="E204" s="110">
        <v>2.0</v>
      </c>
      <c r="F204" s="110" t="s">
        <v>451</v>
      </c>
      <c r="G204" s="111" t="s">
        <v>452</v>
      </c>
      <c r="H204" s="111" t="s">
        <v>453</v>
      </c>
      <c r="I204" s="111" t="s">
        <v>246</v>
      </c>
      <c r="J204" s="107"/>
      <c r="K204" s="107"/>
      <c r="L204" s="107"/>
      <c r="M204" s="107"/>
      <c r="N204" s="111" t="s">
        <v>206</v>
      </c>
      <c r="O204" s="107"/>
      <c r="P204" s="107"/>
      <c r="Q204" s="107"/>
      <c r="R204" s="107"/>
      <c r="S204" s="107"/>
      <c r="T204" s="107"/>
    </row>
    <row r="205" ht="12.75" customHeight="1">
      <c r="B205" s="107"/>
      <c r="C205" s="117" t="s">
        <v>454</v>
      </c>
      <c r="D205" s="109" t="s">
        <v>252</v>
      </c>
      <c r="E205" s="110">
        <v>2.0</v>
      </c>
      <c r="F205" s="110" t="s">
        <v>451</v>
      </c>
      <c r="G205" s="111" t="s">
        <v>452</v>
      </c>
      <c r="H205" s="111" t="s">
        <v>453</v>
      </c>
      <c r="I205" s="111" t="s">
        <v>246</v>
      </c>
      <c r="J205" s="107"/>
      <c r="K205" s="107"/>
      <c r="L205" s="107"/>
      <c r="M205" s="107"/>
      <c r="N205" s="111" t="s">
        <v>206</v>
      </c>
      <c r="O205" s="107"/>
      <c r="P205" s="107"/>
      <c r="Q205" s="107"/>
      <c r="R205" s="107"/>
      <c r="S205" s="107"/>
      <c r="T205" s="107"/>
    </row>
    <row r="206" ht="12.75" customHeight="1">
      <c r="B206" s="107"/>
      <c r="C206" s="117" t="s">
        <v>455</v>
      </c>
      <c r="D206" s="109" t="s">
        <v>456</v>
      </c>
      <c r="E206" s="110">
        <v>2.0</v>
      </c>
      <c r="F206" s="110" t="s">
        <v>451</v>
      </c>
      <c r="G206" s="111" t="s">
        <v>452</v>
      </c>
      <c r="H206" s="111" t="s">
        <v>453</v>
      </c>
      <c r="I206" s="111" t="s">
        <v>246</v>
      </c>
      <c r="J206" s="107"/>
      <c r="K206" s="107"/>
      <c r="L206" s="107"/>
      <c r="M206" s="107"/>
      <c r="N206" s="111" t="s">
        <v>206</v>
      </c>
      <c r="O206" s="107"/>
      <c r="P206" s="107"/>
      <c r="Q206" s="107"/>
      <c r="R206" s="107"/>
      <c r="S206" s="107"/>
      <c r="T206" s="107"/>
    </row>
    <row r="207" ht="12.75" customHeight="1">
      <c r="B207" s="107"/>
      <c r="C207" s="117" t="s">
        <v>457</v>
      </c>
      <c r="D207" s="109" t="s">
        <v>252</v>
      </c>
      <c r="E207" s="110">
        <v>2.0</v>
      </c>
      <c r="F207" s="110" t="s">
        <v>451</v>
      </c>
      <c r="G207" s="111" t="s">
        <v>452</v>
      </c>
      <c r="H207" s="111" t="s">
        <v>453</v>
      </c>
      <c r="I207" s="111" t="s">
        <v>246</v>
      </c>
      <c r="J207" s="107"/>
      <c r="K207" s="107"/>
      <c r="L207" s="107"/>
      <c r="M207" s="107"/>
      <c r="N207" s="111" t="s">
        <v>206</v>
      </c>
      <c r="O207" s="107"/>
      <c r="P207" s="107"/>
      <c r="Q207" s="107"/>
      <c r="R207" s="107"/>
      <c r="S207" s="107"/>
      <c r="T207" s="107"/>
    </row>
    <row r="208" ht="12.75" customHeight="1">
      <c r="B208" s="107"/>
      <c r="C208" s="117" t="s">
        <v>458</v>
      </c>
      <c r="D208" s="109" t="s">
        <v>459</v>
      </c>
      <c r="E208" s="110">
        <v>2.0</v>
      </c>
      <c r="F208" s="110" t="s">
        <v>451</v>
      </c>
      <c r="G208" s="111" t="s">
        <v>452</v>
      </c>
      <c r="H208" s="111" t="s">
        <v>453</v>
      </c>
      <c r="I208" s="111" t="s">
        <v>246</v>
      </c>
      <c r="J208" s="107"/>
      <c r="K208" s="107"/>
      <c r="L208" s="107"/>
      <c r="M208" s="107"/>
      <c r="N208" s="111" t="s">
        <v>206</v>
      </c>
      <c r="O208" s="107"/>
      <c r="P208" s="107"/>
      <c r="Q208" s="107"/>
      <c r="R208" s="107"/>
      <c r="S208" s="107"/>
      <c r="T208" s="107"/>
    </row>
    <row r="209" ht="12.75" customHeight="1">
      <c r="B209" s="107"/>
      <c r="C209" s="117" t="s">
        <v>460</v>
      </c>
      <c r="D209" s="109" t="s">
        <v>461</v>
      </c>
      <c r="E209" s="110">
        <v>2.0</v>
      </c>
      <c r="F209" s="110" t="s">
        <v>451</v>
      </c>
      <c r="G209" s="111" t="s">
        <v>452</v>
      </c>
      <c r="H209" s="111" t="s">
        <v>453</v>
      </c>
      <c r="I209" s="111" t="s">
        <v>246</v>
      </c>
      <c r="J209" s="107"/>
      <c r="K209" s="107"/>
      <c r="L209" s="107"/>
      <c r="M209" s="107"/>
      <c r="N209" s="111" t="s">
        <v>206</v>
      </c>
      <c r="O209" s="107"/>
      <c r="P209" s="107"/>
      <c r="Q209" s="107"/>
      <c r="R209" s="107"/>
      <c r="S209" s="107"/>
      <c r="T209" s="107"/>
    </row>
    <row r="210" ht="12.75" customHeight="1">
      <c r="B210" s="107"/>
      <c r="C210" s="117" t="s">
        <v>462</v>
      </c>
      <c r="D210" s="109" t="s">
        <v>459</v>
      </c>
      <c r="E210" s="110">
        <v>2.0</v>
      </c>
      <c r="F210" s="110" t="s">
        <v>451</v>
      </c>
      <c r="G210" s="111" t="s">
        <v>452</v>
      </c>
      <c r="H210" s="111" t="s">
        <v>453</v>
      </c>
      <c r="I210" s="111" t="s">
        <v>246</v>
      </c>
      <c r="J210" s="107"/>
      <c r="K210" s="107"/>
      <c r="L210" s="107"/>
      <c r="M210" s="107"/>
      <c r="N210" s="111" t="s">
        <v>206</v>
      </c>
      <c r="O210" s="107"/>
      <c r="P210" s="107"/>
      <c r="Q210" s="107"/>
      <c r="R210" s="107"/>
      <c r="S210" s="107"/>
      <c r="T210" s="107"/>
    </row>
    <row r="211" ht="12.75" customHeight="1">
      <c r="B211" s="107"/>
      <c r="C211" s="117" t="s">
        <v>463</v>
      </c>
      <c r="D211" s="109" t="s">
        <v>464</v>
      </c>
      <c r="E211" s="110">
        <v>2.0</v>
      </c>
      <c r="F211" s="110" t="s">
        <v>451</v>
      </c>
      <c r="G211" s="111" t="s">
        <v>452</v>
      </c>
      <c r="H211" s="111" t="s">
        <v>453</v>
      </c>
      <c r="I211" s="111" t="s">
        <v>246</v>
      </c>
      <c r="J211" s="107"/>
      <c r="K211" s="107"/>
      <c r="L211" s="107"/>
      <c r="M211" s="107"/>
      <c r="N211" s="111" t="s">
        <v>206</v>
      </c>
      <c r="O211" s="107"/>
      <c r="P211" s="107"/>
      <c r="Q211" s="107"/>
      <c r="R211" s="107"/>
      <c r="S211" s="107"/>
      <c r="T211" s="107"/>
    </row>
    <row r="212" ht="12.75" customHeight="1">
      <c r="B212" s="107"/>
      <c r="C212" s="117" t="s">
        <v>465</v>
      </c>
      <c r="D212" s="109" t="s">
        <v>466</v>
      </c>
      <c r="E212" s="110">
        <v>2.0</v>
      </c>
      <c r="F212" s="110" t="s">
        <v>451</v>
      </c>
      <c r="G212" s="111" t="s">
        <v>452</v>
      </c>
      <c r="H212" s="111" t="s">
        <v>453</v>
      </c>
      <c r="I212" s="111" t="s">
        <v>246</v>
      </c>
      <c r="J212" s="107"/>
      <c r="K212" s="107"/>
      <c r="L212" s="107"/>
      <c r="M212" s="107"/>
      <c r="N212" s="111" t="s">
        <v>206</v>
      </c>
      <c r="O212" s="107"/>
      <c r="P212" s="107"/>
      <c r="Q212" s="107"/>
      <c r="R212" s="107"/>
      <c r="S212" s="107"/>
      <c r="T212" s="107"/>
    </row>
    <row r="213" ht="12.75" customHeight="1">
      <c r="B213" s="107">
        <v>14.0</v>
      </c>
      <c r="C213" s="108" t="s">
        <v>467</v>
      </c>
      <c r="D213" s="109"/>
      <c r="E213" s="110" t="s">
        <v>468</v>
      </c>
      <c r="F213" s="110" t="s">
        <v>202</v>
      </c>
      <c r="G213" s="111" t="s">
        <v>467</v>
      </c>
      <c r="H213" s="111" t="s">
        <v>469</v>
      </c>
      <c r="I213" s="111" t="s">
        <v>246</v>
      </c>
      <c r="J213" s="107"/>
      <c r="K213" s="107"/>
      <c r="L213" s="107"/>
      <c r="M213" s="107"/>
      <c r="N213" s="111" t="s">
        <v>206</v>
      </c>
      <c r="O213" s="107"/>
      <c r="P213" s="107"/>
      <c r="Q213" s="107"/>
      <c r="R213" s="107"/>
      <c r="S213" s="107"/>
      <c r="T213" s="107"/>
    </row>
    <row r="214" ht="12.75" customHeight="1">
      <c r="B214" s="107"/>
      <c r="C214" s="117" t="s">
        <v>470</v>
      </c>
      <c r="D214" s="109" t="s">
        <v>459</v>
      </c>
      <c r="E214" s="110" t="s">
        <v>468</v>
      </c>
      <c r="F214" s="110" t="s">
        <v>202</v>
      </c>
      <c r="G214" s="111" t="s">
        <v>467</v>
      </c>
      <c r="H214" s="111" t="s">
        <v>469</v>
      </c>
      <c r="I214" s="111" t="s">
        <v>246</v>
      </c>
      <c r="J214" s="107"/>
      <c r="K214" s="107"/>
      <c r="L214" s="107"/>
      <c r="M214" s="107"/>
      <c r="N214" s="111" t="s">
        <v>206</v>
      </c>
      <c r="O214" s="107"/>
      <c r="P214" s="107"/>
      <c r="Q214" s="107"/>
      <c r="R214" s="107"/>
      <c r="S214" s="107"/>
      <c r="T214" s="107"/>
    </row>
    <row r="215" ht="12.75" customHeight="1">
      <c r="B215" s="107"/>
      <c r="C215" s="117" t="s">
        <v>471</v>
      </c>
      <c r="D215" s="109" t="s">
        <v>472</v>
      </c>
      <c r="E215" s="110" t="s">
        <v>468</v>
      </c>
      <c r="F215" s="110" t="s">
        <v>202</v>
      </c>
      <c r="G215" s="111" t="s">
        <v>467</v>
      </c>
      <c r="H215" s="111" t="s">
        <v>469</v>
      </c>
      <c r="I215" s="111" t="s">
        <v>246</v>
      </c>
      <c r="J215" s="107"/>
      <c r="K215" s="107"/>
      <c r="L215" s="107"/>
      <c r="M215" s="107"/>
      <c r="N215" s="111" t="s">
        <v>206</v>
      </c>
      <c r="O215" s="107"/>
      <c r="P215" s="107"/>
      <c r="Q215" s="107"/>
      <c r="R215" s="107"/>
      <c r="S215" s="107"/>
      <c r="T215" s="107"/>
    </row>
    <row r="216" ht="12.75" customHeight="1">
      <c r="B216" s="107"/>
      <c r="C216" s="111" t="s">
        <v>473</v>
      </c>
      <c r="D216" s="109" t="s">
        <v>474</v>
      </c>
      <c r="E216" s="110" t="s">
        <v>468</v>
      </c>
      <c r="F216" s="110" t="s">
        <v>202</v>
      </c>
      <c r="G216" s="111" t="s">
        <v>467</v>
      </c>
      <c r="H216" s="111" t="s">
        <v>469</v>
      </c>
      <c r="I216" s="111" t="s">
        <v>246</v>
      </c>
      <c r="J216" s="107"/>
      <c r="K216" s="107"/>
      <c r="L216" s="107"/>
      <c r="M216" s="107"/>
      <c r="N216" s="111" t="s">
        <v>206</v>
      </c>
      <c r="O216" s="107"/>
      <c r="P216" s="107"/>
      <c r="Q216" s="107"/>
      <c r="R216" s="107"/>
      <c r="S216" s="107"/>
      <c r="T216" s="107"/>
    </row>
    <row r="217" ht="12.75" customHeight="1">
      <c r="B217" s="107"/>
      <c r="C217" s="117" t="s">
        <v>475</v>
      </c>
      <c r="D217" s="109"/>
      <c r="E217" s="110" t="s">
        <v>468</v>
      </c>
      <c r="F217" s="110" t="s">
        <v>202</v>
      </c>
      <c r="G217" s="111" t="s">
        <v>467</v>
      </c>
      <c r="H217" s="111" t="s">
        <v>469</v>
      </c>
      <c r="I217" s="111" t="s">
        <v>246</v>
      </c>
      <c r="J217" s="107"/>
      <c r="K217" s="107"/>
      <c r="L217" s="107"/>
      <c r="M217" s="107"/>
      <c r="N217" s="111" t="s">
        <v>206</v>
      </c>
      <c r="O217" s="107"/>
      <c r="P217" s="107"/>
      <c r="Q217" s="107"/>
      <c r="R217" s="107"/>
      <c r="S217" s="107"/>
      <c r="T217" s="107"/>
    </row>
    <row r="218" ht="12.75" customHeight="1">
      <c r="B218" s="107"/>
      <c r="C218" s="117" t="s">
        <v>476</v>
      </c>
      <c r="D218" s="109"/>
      <c r="E218" s="110" t="s">
        <v>468</v>
      </c>
      <c r="F218" s="110" t="s">
        <v>202</v>
      </c>
      <c r="G218" s="111" t="s">
        <v>467</v>
      </c>
      <c r="H218" s="111" t="s">
        <v>469</v>
      </c>
      <c r="I218" s="111" t="s">
        <v>246</v>
      </c>
      <c r="J218" s="107"/>
      <c r="K218" s="107"/>
      <c r="L218" s="107"/>
      <c r="M218" s="107"/>
      <c r="N218" s="111" t="s">
        <v>206</v>
      </c>
      <c r="O218" s="107"/>
      <c r="P218" s="107"/>
      <c r="Q218" s="107"/>
      <c r="R218" s="107"/>
      <c r="S218" s="107"/>
      <c r="T218" s="107"/>
    </row>
    <row r="219" ht="12.75" customHeight="1">
      <c r="B219" s="107"/>
      <c r="C219" s="117" t="s">
        <v>226</v>
      </c>
      <c r="D219" s="109"/>
      <c r="E219" s="110" t="s">
        <v>468</v>
      </c>
      <c r="F219" s="110" t="s">
        <v>202</v>
      </c>
      <c r="G219" s="111" t="s">
        <v>467</v>
      </c>
      <c r="H219" s="111" t="s">
        <v>469</v>
      </c>
      <c r="I219" s="111" t="s">
        <v>246</v>
      </c>
      <c r="J219" s="107"/>
      <c r="K219" s="107"/>
      <c r="L219" s="107"/>
      <c r="M219" s="107"/>
      <c r="N219" s="111" t="s">
        <v>206</v>
      </c>
      <c r="O219" s="107"/>
      <c r="P219" s="107"/>
      <c r="Q219" s="107"/>
      <c r="R219" s="107"/>
      <c r="S219" s="107"/>
      <c r="T219" s="107"/>
    </row>
    <row r="220" ht="12.75" customHeight="1">
      <c r="B220" s="107"/>
      <c r="C220" s="117" t="s">
        <v>477</v>
      </c>
      <c r="D220" s="109"/>
      <c r="E220" s="110" t="s">
        <v>468</v>
      </c>
      <c r="F220" s="110" t="s">
        <v>202</v>
      </c>
      <c r="G220" s="111" t="s">
        <v>467</v>
      </c>
      <c r="H220" s="111" t="s">
        <v>469</v>
      </c>
      <c r="I220" s="111" t="s">
        <v>246</v>
      </c>
      <c r="J220" s="107"/>
      <c r="K220" s="107"/>
      <c r="L220" s="107"/>
      <c r="M220" s="107"/>
      <c r="N220" s="111" t="s">
        <v>206</v>
      </c>
      <c r="O220" s="107"/>
      <c r="P220" s="107"/>
      <c r="Q220" s="107"/>
      <c r="R220" s="107"/>
      <c r="S220" s="107"/>
      <c r="T220" s="107"/>
    </row>
    <row r="221" ht="12.75" customHeight="1">
      <c r="B221" s="107">
        <v>15.0</v>
      </c>
      <c r="C221" s="108" t="s">
        <v>478</v>
      </c>
      <c r="D221" s="109"/>
      <c r="E221" s="110">
        <v>1.0</v>
      </c>
      <c r="F221" s="110" t="s">
        <v>479</v>
      </c>
      <c r="G221" s="111" t="s">
        <v>480</v>
      </c>
      <c r="H221" s="111" t="s">
        <v>481</v>
      </c>
      <c r="I221" s="111" t="s">
        <v>246</v>
      </c>
      <c r="J221" s="107"/>
      <c r="K221" s="107"/>
      <c r="L221" s="107"/>
      <c r="M221" s="107"/>
      <c r="N221" s="111" t="s">
        <v>206</v>
      </c>
      <c r="O221" s="107"/>
      <c r="P221" s="107"/>
      <c r="Q221" s="107"/>
      <c r="R221" s="107"/>
      <c r="S221" s="107"/>
      <c r="T221" s="107"/>
    </row>
    <row r="222" ht="12.75" customHeight="1">
      <c r="B222" s="107"/>
      <c r="C222" s="111" t="s">
        <v>482</v>
      </c>
      <c r="D222" s="109" t="s">
        <v>483</v>
      </c>
      <c r="E222" s="110">
        <v>1.0</v>
      </c>
      <c r="F222" s="110" t="s">
        <v>479</v>
      </c>
      <c r="G222" s="111" t="s">
        <v>480</v>
      </c>
      <c r="H222" s="107"/>
      <c r="I222" s="107"/>
      <c r="J222" s="107"/>
      <c r="K222" s="107"/>
      <c r="L222" s="107"/>
      <c r="M222" s="107"/>
      <c r="N222" s="111" t="s">
        <v>206</v>
      </c>
      <c r="O222" s="107"/>
      <c r="P222" s="107"/>
      <c r="Q222" s="107"/>
      <c r="R222" s="107"/>
      <c r="S222" s="107"/>
      <c r="T222" s="107"/>
    </row>
    <row r="223" ht="12.75" customHeight="1">
      <c r="B223" s="107">
        <v>16.0</v>
      </c>
      <c r="C223" s="108" t="s">
        <v>484</v>
      </c>
      <c r="D223" s="109"/>
      <c r="E223" s="110"/>
      <c r="F223" s="110" t="s">
        <v>202</v>
      </c>
      <c r="G223" s="111" t="s">
        <v>485</v>
      </c>
      <c r="H223" s="111" t="s">
        <v>486</v>
      </c>
      <c r="I223" s="111" t="s">
        <v>246</v>
      </c>
      <c r="J223" s="107"/>
      <c r="K223" s="107"/>
      <c r="L223" s="107"/>
      <c r="M223" s="107"/>
      <c r="N223" s="111" t="s">
        <v>206</v>
      </c>
      <c r="O223" s="107"/>
      <c r="P223" s="107"/>
      <c r="Q223" s="107"/>
      <c r="R223" s="107"/>
      <c r="S223" s="107"/>
      <c r="T223" s="107"/>
    </row>
    <row r="224" ht="12.75" customHeight="1">
      <c r="B224" s="107"/>
      <c r="C224" s="117" t="s">
        <v>487</v>
      </c>
      <c r="D224" s="109" t="s">
        <v>488</v>
      </c>
      <c r="E224" s="110">
        <v>2.0</v>
      </c>
      <c r="F224" s="110" t="s">
        <v>202</v>
      </c>
      <c r="G224" s="111" t="s">
        <v>485</v>
      </c>
      <c r="H224" s="111" t="s">
        <v>486</v>
      </c>
      <c r="I224" s="111" t="s">
        <v>246</v>
      </c>
      <c r="J224" s="107"/>
      <c r="K224" s="107"/>
      <c r="L224" s="107"/>
      <c r="M224" s="107"/>
      <c r="N224" s="111" t="s">
        <v>206</v>
      </c>
      <c r="O224" s="107"/>
      <c r="P224" s="107"/>
      <c r="Q224" s="107"/>
      <c r="R224" s="107"/>
      <c r="S224" s="107"/>
      <c r="T224" s="107"/>
    </row>
    <row r="225" ht="12.75" customHeight="1">
      <c r="B225" s="107"/>
      <c r="C225" s="117" t="s">
        <v>489</v>
      </c>
      <c r="D225" s="109" t="s">
        <v>490</v>
      </c>
      <c r="E225" s="110">
        <v>2.0</v>
      </c>
      <c r="F225" s="110" t="s">
        <v>202</v>
      </c>
      <c r="G225" s="111" t="s">
        <v>485</v>
      </c>
      <c r="H225" s="111" t="s">
        <v>486</v>
      </c>
      <c r="I225" s="111" t="s">
        <v>246</v>
      </c>
      <c r="J225" s="107"/>
      <c r="K225" s="107"/>
      <c r="L225" s="107"/>
      <c r="M225" s="107"/>
      <c r="N225" s="111" t="s">
        <v>206</v>
      </c>
      <c r="O225" s="107"/>
      <c r="P225" s="107"/>
      <c r="Q225" s="107"/>
      <c r="R225" s="107"/>
      <c r="S225" s="107"/>
      <c r="T225" s="107"/>
    </row>
    <row r="226" ht="12.75" customHeight="1">
      <c r="B226" s="107"/>
      <c r="C226" s="117" t="s">
        <v>491</v>
      </c>
      <c r="D226" s="109" t="s">
        <v>393</v>
      </c>
      <c r="E226" s="110">
        <v>2.0</v>
      </c>
      <c r="F226" s="110" t="s">
        <v>202</v>
      </c>
      <c r="G226" s="111" t="s">
        <v>485</v>
      </c>
      <c r="H226" s="111" t="s">
        <v>486</v>
      </c>
      <c r="I226" s="111" t="s">
        <v>246</v>
      </c>
      <c r="J226" s="107"/>
      <c r="K226" s="107"/>
      <c r="L226" s="107"/>
      <c r="M226" s="107"/>
      <c r="N226" s="111" t="s">
        <v>206</v>
      </c>
      <c r="O226" s="107"/>
      <c r="P226" s="107"/>
      <c r="Q226" s="107"/>
      <c r="R226" s="107"/>
      <c r="S226" s="107"/>
      <c r="T226" s="107"/>
    </row>
    <row r="227" ht="12.75" customHeight="1">
      <c r="B227" s="107"/>
      <c r="C227" s="117" t="s">
        <v>492</v>
      </c>
      <c r="D227" s="109" t="s">
        <v>493</v>
      </c>
      <c r="E227" s="110">
        <v>2.0</v>
      </c>
      <c r="F227" s="110" t="s">
        <v>202</v>
      </c>
      <c r="G227" s="111" t="s">
        <v>485</v>
      </c>
      <c r="H227" s="111" t="s">
        <v>486</v>
      </c>
      <c r="I227" s="111" t="s">
        <v>246</v>
      </c>
      <c r="J227" s="107"/>
      <c r="K227" s="107"/>
      <c r="L227" s="107"/>
      <c r="M227" s="107"/>
      <c r="N227" s="111" t="s">
        <v>206</v>
      </c>
      <c r="O227" s="107"/>
      <c r="P227" s="107"/>
      <c r="Q227" s="107"/>
      <c r="R227" s="107"/>
      <c r="S227" s="107"/>
      <c r="T227" s="107"/>
    </row>
    <row r="228" ht="12.75" customHeight="1">
      <c r="B228" s="107"/>
      <c r="C228" s="117" t="s">
        <v>494</v>
      </c>
      <c r="D228" s="109" t="s">
        <v>456</v>
      </c>
      <c r="E228" s="110">
        <v>2.0</v>
      </c>
      <c r="F228" s="110" t="s">
        <v>202</v>
      </c>
      <c r="G228" s="111" t="s">
        <v>485</v>
      </c>
      <c r="H228" s="111" t="s">
        <v>486</v>
      </c>
      <c r="I228" s="111" t="s">
        <v>246</v>
      </c>
      <c r="J228" s="107"/>
      <c r="K228" s="107"/>
      <c r="L228" s="107"/>
      <c r="M228" s="107"/>
      <c r="N228" s="111" t="s">
        <v>206</v>
      </c>
      <c r="O228" s="107"/>
      <c r="P228" s="107"/>
      <c r="Q228" s="107"/>
      <c r="R228" s="107"/>
      <c r="S228" s="107"/>
      <c r="T228" s="107"/>
    </row>
    <row r="229" ht="12.75" customHeight="1">
      <c r="B229" s="107"/>
      <c r="C229" s="117" t="s">
        <v>495</v>
      </c>
      <c r="D229" s="109" t="s">
        <v>496</v>
      </c>
      <c r="E229" s="110">
        <v>2.0</v>
      </c>
      <c r="F229" s="110" t="s">
        <v>202</v>
      </c>
      <c r="G229" s="111" t="s">
        <v>485</v>
      </c>
      <c r="H229" s="111" t="s">
        <v>486</v>
      </c>
      <c r="I229" s="111" t="s">
        <v>246</v>
      </c>
      <c r="J229" s="107"/>
      <c r="K229" s="107"/>
      <c r="L229" s="107"/>
      <c r="M229" s="107"/>
      <c r="N229" s="111" t="s">
        <v>206</v>
      </c>
      <c r="O229" s="107"/>
      <c r="P229" s="107"/>
      <c r="Q229" s="107"/>
      <c r="R229" s="107"/>
      <c r="S229" s="107"/>
      <c r="T229" s="107"/>
    </row>
    <row r="230" ht="12.75" customHeight="1">
      <c r="B230" s="107"/>
      <c r="C230" s="117" t="s">
        <v>497</v>
      </c>
      <c r="D230" s="109" t="s">
        <v>496</v>
      </c>
      <c r="E230" s="110">
        <v>2.0</v>
      </c>
      <c r="F230" s="110" t="s">
        <v>202</v>
      </c>
      <c r="G230" s="111" t="s">
        <v>485</v>
      </c>
      <c r="H230" s="111" t="s">
        <v>486</v>
      </c>
      <c r="I230" s="111" t="s">
        <v>246</v>
      </c>
      <c r="J230" s="107"/>
      <c r="K230" s="107"/>
      <c r="L230" s="107"/>
      <c r="M230" s="107"/>
      <c r="N230" s="111" t="s">
        <v>206</v>
      </c>
      <c r="O230" s="107"/>
      <c r="P230" s="107"/>
      <c r="Q230" s="107"/>
      <c r="R230" s="107"/>
      <c r="S230" s="107"/>
      <c r="T230" s="107"/>
    </row>
    <row r="231" ht="12.75" customHeight="1">
      <c r="B231" s="107"/>
      <c r="C231" s="117" t="s">
        <v>498</v>
      </c>
      <c r="D231" s="109" t="s">
        <v>459</v>
      </c>
      <c r="E231" s="110">
        <v>2.0</v>
      </c>
      <c r="F231" s="110" t="s">
        <v>202</v>
      </c>
      <c r="G231" s="111" t="s">
        <v>485</v>
      </c>
      <c r="H231" s="111" t="s">
        <v>486</v>
      </c>
      <c r="I231" s="111" t="s">
        <v>246</v>
      </c>
      <c r="J231" s="107"/>
      <c r="K231" s="107"/>
      <c r="L231" s="107"/>
      <c r="M231" s="107"/>
      <c r="N231" s="111" t="s">
        <v>206</v>
      </c>
      <c r="O231" s="107"/>
      <c r="P231" s="107"/>
      <c r="Q231" s="107"/>
      <c r="R231" s="107"/>
      <c r="S231" s="107"/>
      <c r="T231" s="107"/>
    </row>
    <row r="232" ht="12.75" customHeight="1">
      <c r="B232" s="107"/>
      <c r="C232" s="117" t="s">
        <v>499</v>
      </c>
      <c r="D232" s="109" t="s">
        <v>459</v>
      </c>
      <c r="E232" s="110">
        <v>2.0</v>
      </c>
      <c r="F232" s="110" t="s">
        <v>202</v>
      </c>
      <c r="G232" s="111" t="s">
        <v>485</v>
      </c>
      <c r="H232" s="111" t="s">
        <v>486</v>
      </c>
      <c r="I232" s="111" t="s">
        <v>246</v>
      </c>
      <c r="J232" s="107"/>
      <c r="K232" s="107"/>
      <c r="L232" s="107"/>
      <c r="M232" s="107"/>
      <c r="N232" s="111" t="s">
        <v>206</v>
      </c>
      <c r="O232" s="107"/>
      <c r="P232" s="107"/>
      <c r="Q232" s="107"/>
      <c r="R232" s="107"/>
      <c r="S232" s="107"/>
      <c r="T232" s="107"/>
    </row>
    <row r="233" ht="12.75" customHeight="1">
      <c r="B233" s="107">
        <v>17.0</v>
      </c>
      <c r="C233" s="108" t="s">
        <v>500</v>
      </c>
      <c r="D233" s="109" t="s">
        <v>501</v>
      </c>
      <c r="E233" s="110">
        <v>1.0</v>
      </c>
      <c r="F233" s="110" t="s">
        <v>479</v>
      </c>
      <c r="G233" s="111" t="s">
        <v>502</v>
      </c>
      <c r="H233" s="111" t="s">
        <v>503</v>
      </c>
      <c r="I233" s="111" t="s">
        <v>246</v>
      </c>
      <c r="J233" s="107"/>
      <c r="K233" s="107"/>
      <c r="L233" s="107"/>
      <c r="M233" s="107"/>
      <c r="N233" s="111" t="s">
        <v>206</v>
      </c>
      <c r="O233" s="107"/>
      <c r="P233" s="107"/>
      <c r="Q233" s="107"/>
      <c r="R233" s="107"/>
      <c r="S233" s="107"/>
      <c r="T233" s="107"/>
    </row>
    <row r="234" ht="12.75" customHeight="1">
      <c r="B234" s="107">
        <v>18.0</v>
      </c>
      <c r="C234" s="108" t="s">
        <v>504</v>
      </c>
      <c r="D234" s="109" t="s">
        <v>252</v>
      </c>
      <c r="E234" s="110">
        <v>1.0</v>
      </c>
      <c r="F234" s="110" t="s">
        <v>202</v>
      </c>
      <c r="G234" s="111" t="s">
        <v>504</v>
      </c>
      <c r="H234" s="111" t="s">
        <v>204</v>
      </c>
      <c r="I234" s="111" t="s">
        <v>505</v>
      </c>
      <c r="J234" s="107"/>
      <c r="K234" s="107"/>
      <c r="L234" s="107"/>
      <c r="M234" s="107"/>
      <c r="N234" s="111" t="s">
        <v>206</v>
      </c>
      <c r="O234" s="107"/>
      <c r="P234" s="107"/>
      <c r="Q234" s="107"/>
      <c r="R234" s="107"/>
      <c r="S234" s="107"/>
      <c r="T234" s="107"/>
    </row>
    <row r="235" ht="12.75" customHeight="1">
      <c r="B235" s="107"/>
      <c r="C235" s="117" t="s">
        <v>215</v>
      </c>
      <c r="D235" s="109" t="s">
        <v>496</v>
      </c>
      <c r="E235" s="110">
        <v>1.0</v>
      </c>
      <c r="F235" s="110" t="s">
        <v>202</v>
      </c>
      <c r="G235" s="111" t="s">
        <v>504</v>
      </c>
      <c r="H235" s="111" t="s">
        <v>204</v>
      </c>
      <c r="I235" s="111" t="s">
        <v>505</v>
      </c>
      <c r="J235" s="107"/>
      <c r="K235" s="107"/>
      <c r="L235" s="107"/>
      <c r="M235" s="107"/>
      <c r="N235" s="111" t="s">
        <v>206</v>
      </c>
      <c r="O235" s="107"/>
      <c r="P235" s="107"/>
      <c r="Q235" s="107"/>
      <c r="R235" s="107"/>
      <c r="S235" s="107"/>
      <c r="T235" s="107"/>
    </row>
    <row r="236" ht="12.75" customHeight="1">
      <c r="B236" s="107">
        <v>19.0</v>
      </c>
      <c r="C236" s="108" t="s">
        <v>506</v>
      </c>
      <c r="D236" s="109" t="s">
        <v>507</v>
      </c>
      <c r="E236" s="110">
        <v>1.0</v>
      </c>
      <c r="F236" s="110" t="s">
        <v>508</v>
      </c>
      <c r="G236" s="111" t="s">
        <v>509</v>
      </c>
      <c r="H236" s="111" t="s">
        <v>204</v>
      </c>
      <c r="I236" s="111" t="s">
        <v>505</v>
      </c>
      <c r="J236" s="107"/>
      <c r="K236" s="107"/>
      <c r="L236" s="107"/>
      <c r="M236" s="107"/>
      <c r="N236" s="111" t="s">
        <v>206</v>
      </c>
      <c r="O236" s="107"/>
      <c r="P236" s="107"/>
      <c r="Q236" s="107"/>
      <c r="R236" s="107"/>
      <c r="S236" s="107"/>
      <c r="T236" s="107"/>
    </row>
    <row r="237" ht="12.75" customHeight="1">
      <c r="B237" s="107">
        <v>20.0</v>
      </c>
      <c r="C237" s="108" t="s">
        <v>510</v>
      </c>
      <c r="D237" s="109" t="s">
        <v>511</v>
      </c>
      <c r="E237" s="110">
        <v>1.0</v>
      </c>
      <c r="F237" s="110" t="s">
        <v>202</v>
      </c>
      <c r="G237" s="111" t="s">
        <v>512</v>
      </c>
      <c r="H237" s="111" t="s">
        <v>204</v>
      </c>
      <c r="I237" s="111" t="s">
        <v>505</v>
      </c>
      <c r="J237" s="107"/>
      <c r="K237" s="107"/>
      <c r="L237" s="107"/>
      <c r="M237" s="107"/>
      <c r="N237" s="111" t="s">
        <v>206</v>
      </c>
      <c r="O237" s="107"/>
      <c r="P237" s="107"/>
      <c r="Q237" s="107"/>
      <c r="R237" s="107"/>
      <c r="S237" s="107"/>
      <c r="T237" s="107"/>
    </row>
    <row r="238" ht="12.75" customHeight="1">
      <c r="B238" s="107"/>
      <c r="C238" s="117" t="s">
        <v>513</v>
      </c>
      <c r="D238" s="109" t="s">
        <v>511</v>
      </c>
      <c r="E238" s="110">
        <v>1.0</v>
      </c>
      <c r="F238" s="110" t="s">
        <v>202</v>
      </c>
      <c r="G238" s="111" t="s">
        <v>512</v>
      </c>
      <c r="H238" s="111" t="s">
        <v>204</v>
      </c>
      <c r="I238" s="111" t="s">
        <v>505</v>
      </c>
      <c r="J238" s="107"/>
      <c r="K238" s="107"/>
      <c r="L238" s="107"/>
      <c r="M238" s="107"/>
      <c r="N238" s="111" t="s">
        <v>206</v>
      </c>
      <c r="O238" s="107"/>
      <c r="P238" s="107"/>
      <c r="Q238" s="107"/>
      <c r="R238" s="107"/>
      <c r="S238" s="107"/>
      <c r="T238" s="107"/>
    </row>
    <row r="239" ht="12.75" customHeight="1">
      <c r="B239" s="107">
        <v>21.0</v>
      </c>
      <c r="C239" s="108" t="s">
        <v>514</v>
      </c>
      <c r="D239" s="109"/>
      <c r="E239" s="110">
        <v>1.0</v>
      </c>
      <c r="F239" s="110" t="s">
        <v>515</v>
      </c>
      <c r="G239" s="111" t="s">
        <v>516</v>
      </c>
      <c r="H239" s="111" t="s">
        <v>517</v>
      </c>
      <c r="I239" s="111" t="s">
        <v>518</v>
      </c>
      <c r="J239" s="107"/>
      <c r="K239" s="107"/>
      <c r="L239" s="107"/>
      <c r="M239" s="107"/>
      <c r="N239" s="111" t="s">
        <v>206</v>
      </c>
      <c r="O239" s="107"/>
      <c r="P239" s="107"/>
      <c r="Q239" s="107"/>
      <c r="R239" s="107"/>
      <c r="S239" s="107"/>
      <c r="T239" s="107"/>
    </row>
    <row r="240" ht="12.75" customHeight="1">
      <c r="B240" s="107"/>
      <c r="C240" s="117" t="s">
        <v>519</v>
      </c>
      <c r="D240" s="109"/>
      <c r="E240" s="110"/>
      <c r="F240" s="110"/>
      <c r="G240" s="107"/>
      <c r="H240" s="107"/>
      <c r="I240" s="107"/>
      <c r="J240" s="107"/>
      <c r="K240" s="107"/>
      <c r="L240" s="107"/>
      <c r="M240" s="107"/>
      <c r="N240" s="111" t="s">
        <v>206</v>
      </c>
      <c r="O240" s="107"/>
      <c r="P240" s="107"/>
      <c r="Q240" s="107"/>
      <c r="R240" s="107"/>
      <c r="S240" s="107"/>
      <c r="T240" s="107"/>
    </row>
    <row r="241" ht="12.75" customHeight="1">
      <c r="B241" s="107"/>
      <c r="C241" s="117" t="s">
        <v>348</v>
      </c>
      <c r="D241" s="109"/>
      <c r="E241" s="110"/>
      <c r="F241" s="110"/>
      <c r="G241" s="107"/>
      <c r="H241" s="107"/>
      <c r="I241" s="107"/>
      <c r="J241" s="107"/>
      <c r="K241" s="107"/>
      <c r="L241" s="107"/>
      <c r="M241" s="107"/>
      <c r="N241" s="111" t="s">
        <v>206</v>
      </c>
      <c r="O241" s="107"/>
      <c r="P241" s="107"/>
      <c r="Q241" s="107"/>
      <c r="R241" s="107"/>
      <c r="S241" s="107"/>
      <c r="T241" s="107"/>
    </row>
    <row r="242" ht="12.75" customHeight="1">
      <c r="B242" s="107"/>
      <c r="C242" s="117" t="s">
        <v>520</v>
      </c>
      <c r="D242" s="109"/>
      <c r="E242" s="110"/>
      <c r="F242" s="110"/>
      <c r="G242" s="107"/>
      <c r="H242" s="107"/>
      <c r="I242" s="107"/>
      <c r="J242" s="107"/>
      <c r="K242" s="107"/>
      <c r="L242" s="107"/>
      <c r="M242" s="107"/>
      <c r="N242" s="111" t="s">
        <v>206</v>
      </c>
      <c r="O242" s="107"/>
      <c r="P242" s="107"/>
      <c r="Q242" s="107"/>
      <c r="R242" s="107"/>
      <c r="S242" s="107"/>
      <c r="T242" s="107"/>
    </row>
    <row r="243" ht="12.75" customHeight="1">
      <c r="B243" s="107"/>
      <c r="C243" s="117" t="s">
        <v>521</v>
      </c>
      <c r="D243" s="109"/>
      <c r="E243" s="110"/>
      <c r="F243" s="110"/>
      <c r="G243" s="107"/>
      <c r="H243" s="107"/>
      <c r="I243" s="107"/>
      <c r="J243" s="107"/>
      <c r="K243" s="107"/>
      <c r="L243" s="107"/>
      <c r="M243" s="107"/>
      <c r="N243" s="111" t="s">
        <v>206</v>
      </c>
      <c r="O243" s="107"/>
      <c r="P243" s="107"/>
      <c r="Q243" s="107"/>
      <c r="R243" s="107"/>
      <c r="S243" s="107"/>
      <c r="T243" s="107"/>
    </row>
    <row r="244" ht="12.75" customHeight="1">
      <c r="B244" s="107"/>
      <c r="C244" s="117" t="s">
        <v>522</v>
      </c>
      <c r="D244" s="109"/>
      <c r="E244" s="110"/>
      <c r="F244" s="110"/>
      <c r="G244" s="107"/>
      <c r="H244" s="107"/>
      <c r="I244" s="107"/>
      <c r="J244" s="107"/>
      <c r="K244" s="107"/>
      <c r="L244" s="107"/>
      <c r="M244" s="107"/>
      <c r="N244" s="111" t="s">
        <v>206</v>
      </c>
      <c r="O244" s="107"/>
      <c r="P244" s="107"/>
      <c r="Q244" s="107"/>
      <c r="R244" s="107"/>
      <c r="S244" s="107"/>
      <c r="T244" s="107"/>
    </row>
    <row r="245" ht="12.75" customHeight="1">
      <c r="B245" s="107"/>
      <c r="C245" s="117" t="s">
        <v>523</v>
      </c>
      <c r="D245" s="109"/>
      <c r="E245" s="110"/>
      <c r="F245" s="110"/>
      <c r="G245" s="107"/>
      <c r="H245" s="107"/>
      <c r="I245" s="107"/>
      <c r="J245" s="107"/>
      <c r="K245" s="107"/>
      <c r="L245" s="107"/>
      <c r="M245" s="107"/>
      <c r="N245" s="111" t="s">
        <v>206</v>
      </c>
      <c r="O245" s="107"/>
      <c r="P245" s="107"/>
      <c r="Q245" s="107"/>
      <c r="R245" s="107"/>
      <c r="S245" s="107"/>
      <c r="T245" s="107"/>
    </row>
    <row r="246" ht="12.75" customHeight="1">
      <c r="B246" s="107"/>
      <c r="C246" s="117" t="s">
        <v>524</v>
      </c>
      <c r="D246" s="109"/>
      <c r="E246" s="110"/>
      <c r="F246" s="110"/>
      <c r="G246" s="107"/>
      <c r="H246" s="107"/>
      <c r="I246" s="107"/>
      <c r="J246" s="107"/>
      <c r="K246" s="107"/>
      <c r="L246" s="107"/>
      <c r="M246" s="107"/>
      <c r="N246" s="111" t="s">
        <v>206</v>
      </c>
      <c r="O246" s="107"/>
      <c r="P246" s="107"/>
      <c r="Q246" s="107"/>
      <c r="R246" s="107"/>
      <c r="S246" s="107"/>
      <c r="T246" s="107"/>
    </row>
    <row r="247" ht="12.75" customHeight="1">
      <c r="B247" s="107"/>
      <c r="C247" s="117" t="s">
        <v>525</v>
      </c>
      <c r="D247" s="109"/>
      <c r="E247" s="110"/>
      <c r="F247" s="110"/>
      <c r="G247" s="107"/>
      <c r="H247" s="107"/>
      <c r="I247" s="107"/>
      <c r="J247" s="107"/>
      <c r="K247" s="107"/>
      <c r="L247" s="107"/>
      <c r="M247" s="107"/>
      <c r="N247" s="111" t="s">
        <v>206</v>
      </c>
      <c r="O247" s="107"/>
      <c r="P247" s="107"/>
      <c r="Q247" s="107"/>
      <c r="R247" s="107"/>
      <c r="S247" s="107"/>
      <c r="T247" s="107"/>
    </row>
    <row r="248" ht="12.75" customHeight="1">
      <c r="B248" s="107"/>
      <c r="C248" s="117" t="s">
        <v>526</v>
      </c>
      <c r="D248" s="109"/>
      <c r="E248" s="110"/>
      <c r="F248" s="110"/>
      <c r="G248" s="107"/>
      <c r="H248" s="107"/>
      <c r="I248" s="107"/>
      <c r="J248" s="107"/>
      <c r="K248" s="107"/>
      <c r="L248" s="107"/>
      <c r="M248" s="107"/>
      <c r="N248" s="111" t="s">
        <v>206</v>
      </c>
      <c r="O248" s="107"/>
      <c r="P248" s="107"/>
      <c r="Q248" s="107"/>
      <c r="R248" s="107"/>
      <c r="S248" s="107"/>
      <c r="T248" s="107"/>
    </row>
    <row r="249" ht="12.75" customHeight="1">
      <c r="B249" s="107">
        <v>22.0</v>
      </c>
      <c r="C249" s="108" t="s">
        <v>527</v>
      </c>
      <c r="D249" s="109" t="s">
        <v>528</v>
      </c>
      <c r="E249" s="110">
        <v>1.0</v>
      </c>
      <c r="F249" s="110" t="s">
        <v>529</v>
      </c>
      <c r="G249" s="111" t="s">
        <v>530</v>
      </c>
      <c r="H249" s="111" t="s">
        <v>531</v>
      </c>
      <c r="I249" s="111" t="s">
        <v>532</v>
      </c>
      <c r="J249" s="107"/>
      <c r="K249" s="107"/>
      <c r="L249" s="107"/>
      <c r="M249" s="107"/>
      <c r="N249" s="111" t="s">
        <v>206</v>
      </c>
      <c r="O249" s="107"/>
      <c r="P249" s="107"/>
      <c r="Q249" s="107"/>
      <c r="R249" s="107"/>
      <c r="S249" s="107"/>
      <c r="T249" s="107"/>
    </row>
    <row r="250" ht="12.75" customHeight="1">
      <c r="B250" s="107"/>
      <c r="C250" s="117" t="s">
        <v>533</v>
      </c>
      <c r="D250" s="110">
        <v>0.40499999999999997</v>
      </c>
      <c r="E250" s="110">
        <v>1.0</v>
      </c>
      <c r="F250" s="110" t="s">
        <v>529</v>
      </c>
      <c r="G250" s="111" t="s">
        <v>530</v>
      </c>
      <c r="H250" s="111" t="s">
        <v>531</v>
      </c>
      <c r="I250" s="111" t="s">
        <v>532</v>
      </c>
      <c r="J250" s="107"/>
      <c r="K250" s="107"/>
      <c r="L250" s="107"/>
      <c r="M250" s="107"/>
      <c r="N250" s="111" t="s">
        <v>206</v>
      </c>
      <c r="O250" s="107"/>
      <c r="P250" s="107"/>
      <c r="Q250" s="107"/>
      <c r="R250" s="107"/>
      <c r="S250" s="107"/>
      <c r="T250" s="107"/>
    </row>
    <row r="251" ht="12.75" customHeight="1">
      <c r="B251" s="107"/>
      <c r="C251" s="117" t="s">
        <v>534</v>
      </c>
      <c r="D251" s="110">
        <v>0.34500000000000003</v>
      </c>
      <c r="E251" s="110">
        <v>1.0</v>
      </c>
      <c r="F251" s="110" t="s">
        <v>529</v>
      </c>
      <c r="G251" s="111" t="s">
        <v>530</v>
      </c>
      <c r="H251" s="111" t="s">
        <v>531</v>
      </c>
      <c r="I251" s="111" t="s">
        <v>532</v>
      </c>
      <c r="J251" s="107"/>
      <c r="K251" s="107"/>
      <c r="L251" s="107"/>
      <c r="M251" s="107"/>
      <c r="N251" s="111" t="s">
        <v>206</v>
      </c>
      <c r="O251" s="107"/>
      <c r="P251" s="107"/>
      <c r="Q251" s="107"/>
      <c r="R251" s="107"/>
      <c r="S251" s="107"/>
      <c r="T251" s="107"/>
    </row>
    <row r="252" ht="12.75" customHeight="1">
      <c r="B252" s="107"/>
      <c r="C252" s="117" t="s">
        <v>535</v>
      </c>
      <c r="D252" s="110">
        <v>0.15</v>
      </c>
      <c r="E252" s="110">
        <v>1.0</v>
      </c>
      <c r="F252" s="110" t="s">
        <v>529</v>
      </c>
      <c r="G252" s="111" t="s">
        <v>530</v>
      </c>
      <c r="H252" s="111" t="s">
        <v>531</v>
      </c>
      <c r="I252" s="111" t="s">
        <v>532</v>
      </c>
      <c r="J252" s="107"/>
      <c r="K252" s="107"/>
      <c r="L252" s="107"/>
      <c r="M252" s="107"/>
      <c r="N252" s="111" t="s">
        <v>206</v>
      </c>
      <c r="O252" s="107"/>
      <c r="P252" s="107"/>
      <c r="Q252" s="107"/>
      <c r="R252" s="107"/>
      <c r="S252" s="107"/>
      <c r="T252" s="107"/>
    </row>
    <row r="253" ht="12.75" customHeight="1">
      <c r="B253" s="107"/>
      <c r="C253" s="117" t="s">
        <v>536</v>
      </c>
      <c r="D253" s="110">
        <v>0.15</v>
      </c>
      <c r="E253" s="110">
        <v>1.0</v>
      </c>
      <c r="F253" s="110" t="s">
        <v>529</v>
      </c>
      <c r="G253" s="111" t="s">
        <v>530</v>
      </c>
      <c r="H253" s="111" t="s">
        <v>531</v>
      </c>
      <c r="I253" s="111" t="s">
        <v>532</v>
      </c>
      <c r="J253" s="107"/>
      <c r="K253" s="107"/>
      <c r="L253" s="107"/>
      <c r="M253" s="107"/>
      <c r="N253" s="111" t="s">
        <v>206</v>
      </c>
      <c r="O253" s="107"/>
      <c r="P253" s="107"/>
      <c r="Q253" s="107"/>
      <c r="R253" s="107"/>
      <c r="S253" s="107"/>
      <c r="T253" s="107"/>
    </row>
    <row r="254" ht="12.75" customHeight="1">
      <c r="B254" s="107"/>
      <c r="C254" s="117" t="s">
        <v>537</v>
      </c>
      <c r="D254" s="110">
        <v>0.325</v>
      </c>
      <c r="E254" s="110">
        <v>1.0</v>
      </c>
      <c r="F254" s="110" t="s">
        <v>529</v>
      </c>
      <c r="G254" s="111" t="s">
        <v>530</v>
      </c>
      <c r="H254" s="111" t="s">
        <v>531</v>
      </c>
      <c r="I254" s="111" t="s">
        <v>532</v>
      </c>
      <c r="J254" s="107"/>
      <c r="K254" s="107"/>
      <c r="L254" s="107"/>
      <c r="M254" s="107"/>
      <c r="N254" s="111" t="s">
        <v>206</v>
      </c>
      <c r="O254" s="107"/>
      <c r="P254" s="107"/>
      <c r="Q254" s="107"/>
      <c r="R254" s="107"/>
      <c r="S254" s="107"/>
      <c r="T254" s="107"/>
    </row>
    <row r="255" ht="12.75" customHeight="1">
      <c r="B255" s="107"/>
      <c r="C255" s="117" t="s">
        <v>538</v>
      </c>
      <c r="D255" s="110">
        <v>0.1</v>
      </c>
      <c r="E255" s="110">
        <v>1.0</v>
      </c>
      <c r="F255" s="110" t="s">
        <v>529</v>
      </c>
      <c r="G255" s="111" t="s">
        <v>530</v>
      </c>
      <c r="H255" s="111" t="s">
        <v>531</v>
      </c>
      <c r="I255" s="111" t="s">
        <v>532</v>
      </c>
      <c r="J255" s="107"/>
      <c r="K255" s="107"/>
      <c r="L255" s="107"/>
      <c r="M255" s="107"/>
      <c r="N255" s="111" t="s">
        <v>206</v>
      </c>
      <c r="O255" s="107"/>
      <c r="P255" s="107"/>
      <c r="Q255" s="107"/>
      <c r="R255" s="107"/>
      <c r="S255" s="107"/>
      <c r="T255" s="107"/>
    </row>
    <row r="256" ht="12.75" customHeight="1">
      <c r="B256" s="107"/>
      <c r="C256" s="117" t="s">
        <v>539</v>
      </c>
      <c r="D256" s="110">
        <v>0.625</v>
      </c>
      <c r="E256" s="110">
        <v>1.0</v>
      </c>
      <c r="F256" s="110" t="s">
        <v>529</v>
      </c>
      <c r="G256" s="111" t="s">
        <v>530</v>
      </c>
      <c r="H256" s="111" t="s">
        <v>531</v>
      </c>
      <c r="I256" s="111" t="s">
        <v>532</v>
      </c>
      <c r="J256" s="107"/>
      <c r="K256" s="107"/>
      <c r="L256" s="107"/>
      <c r="M256" s="107"/>
      <c r="N256" s="111" t="s">
        <v>206</v>
      </c>
      <c r="O256" s="107"/>
      <c r="P256" s="107"/>
      <c r="Q256" s="107"/>
      <c r="R256" s="107"/>
      <c r="S256" s="107"/>
      <c r="T256" s="107"/>
    </row>
    <row r="257" ht="12.75" customHeight="1">
      <c r="B257" s="107"/>
      <c r="C257" s="117" t="s">
        <v>540</v>
      </c>
      <c r="D257" s="110">
        <v>1.1900000000000002</v>
      </c>
      <c r="E257" s="110">
        <v>1.0</v>
      </c>
      <c r="F257" s="110" t="s">
        <v>529</v>
      </c>
      <c r="G257" s="111" t="s">
        <v>530</v>
      </c>
      <c r="H257" s="111" t="s">
        <v>531</v>
      </c>
      <c r="I257" s="111" t="s">
        <v>532</v>
      </c>
      <c r="J257" s="107"/>
      <c r="K257" s="107"/>
      <c r="L257" s="107"/>
      <c r="M257" s="107"/>
      <c r="N257" s="111" t="s">
        <v>206</v>
      </c>
      <c r="O257" s="107"/>
      <c r="P257" s="107"/>
      <c r="Q257" s="107"/>
      <c r="R257" s="107"/>
      <c r="S257" s="107"/>
      <c r="T257" s="107"/>
    </row>
    <row r="258" ht="12.75" customHeight="1">
      <c r="B258" s="107"/>
      <c r="C258" s="117" t="s">
        <v>337</v>
      </c>
      <c r="D258" s="110">
        <v>0.32999999999999996</v>
      </c>
      <c r="E258" s="110">
        <v>1.0</v>
      </c>
      <c r="F258" s="110" t="s">
        <v>529</v>
      </c>
      <c r="G258" s="111" t="s">
        <v>530</v>
      </c>
      <c r="H258" s="111" t="s">
        <v>531</v>
      </c>
      <c r="I258" s="111" t="s">
        <v>532</v>
      </c>
      <c r="J258" s="107"/>
      <c r="K258" s="107"/>
      <c r="L258" s="107"/>
      <c r="M258" s="107"/>
      <c r="N258" s="111" t="s">
        <v>206</v>
      </c>
      <c r="O258" s="107"/>
      <c r="P258" s="107"/>
      <c r="Q258" s="107"/>
      <c r="R258" s="107"/>
      <c r="S258" s="107"/>
      <c r="T258" s="107"/>
    </row>
    <row r="259" ht="12.75" customHeight="1">
      <c r="B259" s="107"/>
      <c r="C259" s="117" t="s">
        <v>541</v>
      </c>
      <c r="D259" s="110">
        <v>0.11000000000000001</v>
      </c>
      <c r="E259" s="110">
        <v>1.0</v>
      </c>
      <c r="F259" s="110" t="s">
        <v>529</v>
      </c>
      <c r="G259" s="111" t="s">
        <v>530</v>
      </c>
      <c r="H259" s="111" t="s">
        <v>531</v>
      </c>
      <c r="I259" s="111" t="s">
        <v>532</v>
      </c>
      <c r="J259" s="107"/>
      <c r="K259" s="107"/>
      <c r="L259" s="107"/>
      <c r="M259" s="107"/>
      <c r="N259" s="111" t="s">
        <v>206</v>
      </c>
      <c r="O259" s="107"/>
      <c r="P259" s="107"/>
      <c r="Q259" s="107"/>
      <c r="R259" s="107"/>
      <c r="S259" s="107"/>
      <c r="T259" s="107"/>
    </row>
    <row r="260" ht="12.75" customHeight="1">
      <c r="B260" s="107"/>
      <c r="C260" s="117" t="s">
        <v>542</v>
      </c>
      <c r="D260" s="110">
        <v>0.09499999999999999</v>
      </c>
      <c r="E260" s="110">
        <v>1.0</v>
      </c>
      <c r="F260" s="110" t="s">
        <v>529</v>
      </c>
      <c r="G260" s="111" t="s">
        <v>530</v>
      </c>
      <c r="H260" s="111" t="s">
        <v>531</v>
      </c>
      <c r="I260" s="111" t="s">
        <v>532</v>
      </c>
      <c r="J260" s="107"/>
      <c r="K260" s="107"/>
      <c r="L260" s="107"/>
      <c r="M260" s="107"/>
      <c r="N260" s="111" t="s">
        <v>206</v>
      </c>
      <c r="O260" s="107"/>
      <c r="P260" s="107"/>
      <c r="Q260" s="107"/>
      <c r="R260" s="107"/>
      <c r="S260" s="107"/>
      <c r="T260" s="107"/>
    </row>
    <row r="261" ht="12.75" customHeight="1">
      <c r="B261" s="107"/>
      <c r="C261" s="117" t="s">
        <v>543</v>
      </c>
      <c r="D261" s="110">
        <v>0.06999999999999999</v>
      </c>
      <c r="E261" s="110">
        <v>1.0</v>
      </c>
      <c r="F261" s="110" t="s">
        <v>529</v>
      </c>
      <c r="G261" s="111" t="s">
        <v>530</v>
      </c>
      <c r="H261" s="111" t="s">
        <v>531</v>
      </c>
      <c r="I261" s="111" t="s">
        <v>532</v>
      </c>
      <c r="J261" s="107"/>
      <c r="K261" s="107"/>
      <c r="L261" s="107"/>
      <c r="M261" s="107"/>
      <c r="N261" s="111" t="s">
        <v>206</v>
      </c>
      <c r="O261" s="107"/>
      <c r="P261" s="107"/>
      <c r="Q261" s="107"/>
      <c r="R261" s="107"/>
      <c r="S261" s="107"/>
      <c r="T261" s="107"/>
    </row>
    <row r="262" ht="12.75" customHeight="1">
      <c r="B262" s="107"/>
      <c r="C262" s="117" t="s">
        <v>544</v>
      </c>
      <c r="D262" s="110">
        <v>0.155</v>
      </c>
      <c r="E262" s="110">
        <v>1.0</v>
      </c>
      <c r="F262" s="110" t="s">
        <v>529</v>
      </c>
      <c r="G262" s="111" t="s">
        <v>530</v>
      </c>
      <c r="H262" s="111" t="s">
        <v>531</v>
      </c>
      <c r="I262" s="111" t="s">
        <v>532</v>
      </c>
      <c r="J262" s="107"/>
      <c r="K262" s="107"/>
      <c r="L262" s="107"/>
      <c r="M262" s="107"/>
      <c r="N262" s="111" t="s">
        <v>206</v>
      </c>
      <c r="O262" s="107"/>
      <c r="P262" s="107"/>
      <c r="Q262" s="107"/>
      <c r="R262" s="107"/>
      <c r="S262" s="107"/>
      <c r="T262" s="107"/>
    </row>
    <row r="263" ht="12.75" customHeight="1">
      <c r="B263" s="107"/>
      <c r="C263" s="117" t="s">
        <v>545</v>
      </c>
      <c r="D263" s="110">
        <v>0.04000000000000001</v>
      </c>
      <c r="E263" s="110">
        <v>1.0</v>
      </c>
      <c r="F263" s="110" t="s">
        <v>529</v>
      </c>
      <c r="G263" s="111" t="s">
        <v>530</v>
      </c>
      <c r="H263" s="111" t="s">
        <v>531</v>
      </c>
      <c r="I263" s="111" t="s">
        <v>532</v>
      </c>
      <c r="J263" s="107"/>
      <c r="K263" s="107"/>
      <c r="L263" s="107"/>
      <c r="M263" s="107"/>
      <c r="N263" s="111" t="s">
        <v>206</v>
      </c>
      <c r="O263" s="107"/>
      <c r="P263" s="107"/>
      <c r="Q263" s="107"/>
      <c r="R263" s="107"/>
      <c r="S263" s="107"/>
      <c r="T263" s="107"/>
    </row>
    <row r="264" ht="12.75" customHeight="1">
      <c r="B264" s="107"/>
      <c r="C264" s="117" t="s">
        <v>546</v>
      </c>
      <c r="D264" s="110">
        <v>0.11499999999999999</v>
      </c>
      <c r="E264" s="110">
        <v>1.0</v>
      </c>
      <c r="F264" s="110" t="s">
        <v>529</v>
      </c>
      <c r="G264" s="111" t="s">
        <v>530</v>
      </c>
      <c r="H264" s="111" t="s">
        <v>531</v>
      </c>
      <c r="I264" s="111" t="s">
        <v>532</v>
      </c>
      <c r="J264" s="107"/>
      <c r="K264" s="107"/>
      <c r="L264" s="107"/>
      <c r="M264" s="107"/>
      <c r="N264" s="111" t="s">
        <v>206</v>
      </c>
      <c r="O264" s="107"/>
      <c r="P264" s="107"/>
      <c r="Q264" s="107"/>
      <c r="R264" s="107"/>
      <c r="S264" s="107"/>
      <c r="T264" s="107"/>
    </row>
    <row r="265" ht="12.75" customHeight="1">
      <c r="B265" s="107"/>
      <c r="C265" s="117" t="s">
        <v>547</v>
      </c>
      <c r="D265" s="110">
        <v>0.05500000000000001</v>
      </c>
      <c r="E265" s="110">
        <v>1.0</v>
      </c>
      <c r="F265" s="110" t="s">
        <v>529</v>
      </c>
      <c r="G265" s="111" t="s">
        <v>530</v>
      </c>
      <c r="H265" s="111" t="s">
        <v>531</v>
      </c>
      <c r="I265" s="111" t="s">
        <v>532</v>
      </c>
      <c r="J265" s="107"/>
      <c r="K265" s="107"/>
      <c r="L265" s="107"/>
      <c r="M265" s="107"/>
      <c r="N265" s="111" t="s">
        <v>206</v>
      </c>
      <c r="O265" s="107"/>
      <c r="P265" s="107"/>
      <c r="Q265" s="107"/>
      <c r="R265" s="107"/>
      <c r="S265" s="107"/>
      <c r="T265" s="107"/>
    </row>
    <row r="266" ht="12.75" customHeight="1">
      <c r="B266" s="107"/>
      <c r="C266" s="117" t="s">
        <v>548</v>
      </c>
      <c r="D266" s="110">
        <v>0.19499999999999998</v>
      </c>
      <c r="E266" s="110">
        <v>1.0</v>
      </c>
      <c r="F266" s="110" t="s">
        <v>529</v>
      </c>
      <c r="G266" s="111" t="s">
        <v>530</v>
      </c>
      <c r="H266" s="111" t="s">
        <v>531</v>
      </c>
      <c r="I266" s="111" t="s">
        <v>532</v>
      </c>
      <c r="J266" s="107"/>
      <c r="K266" s="107"/>
      <c r="L266" s="107"/>
      <c r="M266" s="107"/>
      <c r="N266" s="111" t="s">
        <v>206</v>
      </c>
      <c r="O266" s="107"/>
      <c r="P266" s="107"/>
      <c r="Q266" s="107"/>
      <c r="R266" s="107"/>
      <c r="S266" s="107"/>
      <c r="T266" s="107"/>
    </row>
    <row r="267" ht="12.75" customHeight="1">
      <c r="B267" s="107"/>
      <c r="C267" s="117" t="s">
        <v>549</v>
      </c>
      <c r="D267" s="110">
        <v>0.05999999999999999</v>
      </c>
      <c r="E267" s="110">
        <v>1.0</v>
      </c>
      <c r="F267" s="110" t="s">
        <v>529</v>
      </c>
      <c r="G267" s="111" t="s">
        <v>530</v>
      </c>
      <c r="H267" s="111" t="s">
        <v>531</v>
      </c>
      <c r="I267" s="111" t="s">
        <v>532</v>
      </c>
      <c r="J267" s="107"/>
      <c r="K267" s="107"/>
      <c r="L267" s="107"/>
      <c r="M267" s="107"/>
      <c r="N267" s="111" t="s">
        <v>206</v>
      </c>
      <c r="O267" s="107"/>
      <c r="P267" s="107"/>
      <c r="Q267" s="107"/>
      <c r="R267" s="107"/>
      <c r="S267" s="107"/>
      <c r="T267" s="107"/>
    </row>
    <row r="268" ht="12.75" customHeight="1">
      <c r="B268" s="107"/>
      <c r="C268" s="117" t="s">
        <v>550</v>
      </c>
      <c r="D268" s="110">
        <v>0.485</v>
      </c>
      <c r="E268" s="110">
        <v>1.0</v>
      </c>
      <c r="F268" s="110" t="s">
        <v>529</v>
      </c>
      <c r="G268" s="111" t="s">
        <v>530</v>
      </c>
      <c r="H268" s="111" t="s">
        <v>531</v>
      </c>
      <c r="I268" s="111" t="s">
        <v>532</v>
      </c>
      <c r="J268" s="107"/>
      <c r="K268" s="107"/>
      <c r="L268" s="107"/>
      <c r="M268" s="107"/>
      <c r="N268" s="111" t="s">
        <v>206</v>
      </c>
      <c r="O268" s="107"/>
      <c r="P268" s="107"/>
      <c r="Q268" s="107"/>
      <c r="R268" s="107"/>
      <c r="S268" s="107"/>
      <c r="T268" s="107"/>
    </row>
    <row r="269" ht="12.75" customHeight="1">
      <c r="B269" s="107">
        <v>23.0</v>
      </c>
      <c r="C269" s="108" t="s">
        <v>551</v>
      </c>
      <c r="D269" s="109" t="s">
        <v>552</v>
      </c>
      <c r="E269" s="110" t="s">
        <v>315</v>
      </c>
      <c r="F269" s="110" t="s">
        <v>553</v>
      </c>
      <c r="G269" s="111" t="s">
        <v>554</v>
      </c>
      <c r="H269" s="111" t="s">
        <v>555</v>
      </c>
      <c r="I269" s="111" t="s">
        <v>556</v>
      </c>
      <c r="J269" s="107"/>
      <c r="K269" s="107"/>
      <c r="L269" s="107"/>
      <c r="M269" s="107"/>
      <c r="N269" s="111" t="s">
        <v>206</v>
      </c>
      <c r="O269" s="107"/>
      <c r="P269" s="107"/>
      <c r="Q269" s="107"/>
      <c r="R269" s="107"/>
      <c r="S269" s="107"/>
      <c r="T269" s="107"/>
    </row>
    <row r="270" ht="12.75" customHeight="1">
      <c r="B270" s="107">
        <v>24.0</v>
      </c>
      <c r="C270" s="108" t="s">
        <v>557</v>
      </c>
      <c r="D270" s="109" t="s">
        <v>558</v>
      </c>
      <c r="E270" s="110">
        <v>1.0</v>
      </c>
      <c r="F270" s="110" t="s">
        <v>451</v>
      </c>
      <c r="G270" s="111" t="s">
        <v>559</v>
      </c>
      <c r="H270" s="111" t="s">
        <v>399</v>
      </c>
      <c r="I270" s="111" t="s">
        <v>246</v>
      </c>
      <c r="J270" s="107"/>
      <c r="K270" s="107"/>
      <c r="L270" s="107"/>
      <c r="M270" s="107"/>
      <c r="N270" s="111" t="s">
        <v>206</v>
      </c>
      <c r="O270" s="107"/>
      <c r="P270" s="107"/>
      <c r="Q270" s="107"/>
      <c r="R270" s="107"/>
      <c r="S270" s="107"/>
      <c r="T270" s="107"/>
    </row>
    <row r="271" ht="12.75" customHeight="1">
      <c r="B271" s="107"/>
      <c r="C271" s="117" t="s">
        <v>560</v>
      </c>
      <c r="D271" s="109"/>
      <c r="E271" s="110">
        <v>1.0</v>
      </c>
      <c r="F271" s="110" t="s">
        <v>451</v>
      </c>
      <c r="G271" s="111" t="s">
        <v>559</v>
      </c>
      <c r="H271" s="111" t="s">
        <v>399</v>
      </c>
      <c r="I271" s="111" t="s">
        <v>246</v>
      </c>
      <c r="J271" s="107"/>
      <c r="K271" s="107"/>
      <c r="L271" s="107"/>
      <c r="M271" s="107"/>
      <c r="N271" s="111" t="s">
        <v>206</v>
      </c>
      <c r="O271" s="107"/>
      <c r="P271" s="107"/>
      <c r="Q271" s="107"/>
      <c r="R271" s="107"/>
      <c r="S271" s="107"/>
      <c r="T271" s="107"/>
    </row>
    <row r="272" ht="12.75" customHeight="1">
      <c r="B272" s="107"/>
      <c r="C272" s="117" t="s">
        <v>561</v>
      </c>
      <c r="D272" s="109"/>
      <c r="E272" s="110">
        <v>1.0</v>
      </c>
      <c r="F272" s="110" t="s">
        <v>451</v>
      </c>
      <c r="G272" s="111" t="s">
        <v>559</v>
      </c>
      <c r="H272" s="111" t="s">
        <v>399</v>
      </c>
      <c r="I272" s="111" t="s">
        <v>246</v>
      </c>
      <c r="J272" s="107"/>
      <c r="K272" s="107"/>
      <c r="L272" s="107"/>
      <c r="M272" s="107"/>
      <c r="N272" s="111" t="s">
        <v>206</v>
      </c>
      <c r="O272" s="107"/>
      <c r="P272" s="107"/>
      <c r="Q272" s="107"/>
      <c r="R272" s="107"/>
      <c r="S272" s="107"/>
      <c r="T272" s="107"/>
    </row>
    <row r="273" ht="12.75" customHeight="1">
      <c r="B273" s="107"/>
      <c r="C273" s="117" t="s">
        <v>562</v>
      </c>
      <c r="D273" s="109"/>
      <c r="E273" s="110">
        <v>1.0</v>
      </c>
      <c r="F273" s="110" t="s">
        <v>451</v>
      </c>
      <c r="G273" s="111" t="s">
        <v>559</v>
      </c>
      <c r="H273" s="111" t="s">
        <v>399</v>
      </c>
      <c r="I273" s="111" t="s">
        <v>246</v>
      </c>
      <c r="J273" s="107"/>
      <c r="K273" s="107"/>
      <c r="L273" s="107"/>
      <c r="M273" s="107"/>
      <c r="N273" s="111" t="s">
        <v>206</v>
      </c>
      <c r="O273" s="107"/>
      <c r="P273" s="107"/>
      <c r="Q273" s="107"/>
      <c r="R273" s="107"/>
      <c r="S273" s="107"/>
      <c r="T273" s="107"/>
    </row>
    <row r="274" ht="12.75" customHeight="1">
      <c r="B274" s="107"/>
      <c r="C274" s="117" t="s">
        <v>563</v>
      </c>
      <c r="D274" s="109"/>
      <c r="E274" s="110">
        <v>1.0</v>
      </c>
      <c r="F274" s="110" t="s">
        <v>451</v>
      </c>
      <c r="G274" s="111" t="s">
        <v>559</v>
      </c>
      <c r="H274" s="111" t="s">
        <v>399</v>
      </c>
      <c r="I274" s="111" t="s">
        <v>246</v>
      </c>
      <c r="J274" s="107"/>
      <c r="K274" s="107"/>
      <c r="L274" s="107"/>
      <c r="M274" s="107"/>
      <c r="N274" s="111" t="s">
        <v>206</v>
      </c>
      <c r="O274" s="107"/>
      <c r="P274" s="107"/>
      <c r="Q274" s="107"/>
      <c r="R274" s="107"/>
      <c r="S274" s="107"/>
      <c r="T274" s="107"/>
    </row>
    <row r="275" ht="12.75" customHeight="1">
      <c r="B275" s="107"/>
      <c r="C275" s="117" t="s">
        <v>441</v>
      </c>
      <c r="D275" s="109"/>
      <c r="E275" s="110">
        <v>1.0</v>
      </c>
      <c r="F275" s="110" t="s">
        <v>451</v>
      </c>
      <c r="G275" s="111" t="s">
        <v>559</v>
      </c>
      <c r="H275" s="111" t="s">
        <v>399</v>
      </c>
      <c r="I275" s="111" t="s">
        <v>246</v>
      </c>
      <c r="J275" s="107"/>
      <c r="K275" s="107"/>
      <c r="L275" s="107"/>
      <c r="M275" s="107"/>
      <c r="N275" s="111" t="s">
        <v>206</v>
      </c>
      <c r="O275" s="107"/>
      <c r="P275" s="107"/>
      <c r="Q275" s="107"/>
      <c r="R275" s="107"/>
      <c r="S275" s="107"/>
      <c r="T275" s="107"/>
    </row>
    <row r="276" ht="12.75" customHeight="1">
      <c r="B276" s="107"/>
      <c r="C276" s="117" t="s">
        <v>564</v>
      </c>
      <c r="D276" s="109"/>
      <c r="E276" s="110">
        <v>1.0</v>
      </c>
      <c r="F276" s="110" t="s">
        <v>451</v>
      </c>
      <c r="G276" s="111" t="s">
        <v>559</v>
      </c>
      <c r="H276" s="111" t="s">
        <v>399</v>
      </c>
      <c r="I276" s="111" t="s">
        <v>246</v>
      </c>
      <c r="J276" s="107"/>
      <c r="K276" s="107"/>
      <c r="L276" s="107"/>
      <c r="M276" s="107"/>
      <c r="N276" s="111" t="s">
        <v>206</v>
      </c>
      <c r="O276" s="107"/>
      <c r="P276" s="107"/>
      <c r="Q276" s="107"/>
      <c r="R276" s="107"/>
      <c r="S276" s="107"/>
      <c r="T276" s="107"/>
    </row>
    <row r="277" ht="12.75" customHeight="1">
      <c r="B277" s="107"/>
      <c r="C277" s="117" t="s">
        <v>565</v>
      </c>
      <c r="D277" s="109"/>
      <c r="E277" s="110">
        <v>1.0</v>
      </c>
      <c r="F277" s="110" t="s">
        <v>451</v>
      </c>
      <c r="G277" s="111" t="s">
        <v>559</v>
      </c>
      <c r="H277" s="111" t="s">
        <v>399</v>
      </c>
      <c r="I277" s="111" t="s">
        <v>246</v>
      </c>
      <c r="J277" s="107"/>
      <c r="K277" s="107"/>
      <c r="L277" s="107"/>
      <c r="M277" s="107"/>
      <c r="N277" s="111" t="s">
        <v>206</v>
      </c>
      <c r="O277" s="107"/>
      <c r="P277" s="107"/>
      <c r="Q277" s="107"/>
      <c r="R277" s="107"/>
      <c r="S277" s="107"/>
      <c r="T277" s="107"/>
    </row>
    <row r="278" ht="12.75" customHeight="1">
      <c r="B278" s="107"/>
      <c r="C278" s="117" t="s">
        <v>566</v>
      </c>
      <c r="D278" s="109"/>
      <c r="E278" s="110">
        <v>1.0</v>
      </c>
      <c r="F278" s="110" t="s">
        <v>451</v>
      </c>
      <c r="G278" s="111" t="s">
        <v>559</v>
      </c>
      <c r="H278" s="111" t="s">
        <v>399</v>
      </c>
      <c r="I278" s="111" t="s">
        <v>246</v>
      </c>
      <c r="J278" s="107"/>
      <c r="K278" s="107"/>
      <c r="L278" s="107"/>
      <c r="M278" s="107"/>
      <c r="N278" s="111" t="s">
        <v>206</v>
      </c>
      <c r="O278" s="107"/>
      <c r="P278" s="107"/>
      <c r="Q278" s="107"/>
      <c r="R278" s="107"/>
      <c r="S278" s="107"/>
      <c r="T278" s="107"/>
    </row>
    <row r="279" ht="12.75" customHeight="1">
      <c r="B279" s="107"/>
      <c r="C279" s="117" t="s">
        <v>567</v>
      </c>
      <c r="D279" s="109"/>
      <c r="E279" s="110">
        <v>1.0</v>
      </c>
      <c r="F279" s="110" t="s">
        <v>451</v>
      </c>
      <c r="G279" s="111" t="s">
        <v>559</v>
      </c>
      <c r="H279" s="111" t="s">
        <v>399</v>
      </c>
      <c r="I279" s="111" t="s">
        <v>246</v>
      </c>
      <c r="J279" s="107"/>
      <c r="K279" s="107"/>
      <c r="L279" s="107"/>
      <c r="M279" s="107"/>
      <c r="N279" s="111" t="s">
        <v>206</v>
      </c>
      <c r="O279" s="107"/>
      <c r="P279" s="107"/>
      <c r="Q279" s="107"/>
      <c r="R279" s="107"/>
      <c r="S279" s="107"/>
      <c r="T279" s="107"/>
    </row>
    <row r="280" ht="12.75" customHeight="1">
      <c r="B280" s="107"/>
      <c r="C280" s="117" t="s">
        <v>568</v>
      </c>
      <c r="D280" s="109"/>
      <c r="E280" s="110">
        <v>1.0</v>
      </c>
      <c r="F280" s="110" t="s">
        <v>451</v>
      </c>
      <c r="G280" s="111" t="s">
        <v>559</v>
      </c>
      <c r="H280" s="111" t="s">
        <v>399</v>
      </c>
      <c r="I280" s="111" t="s">
        <v>246</v>
      </c>
      <c r="J280" s="107"/>
      <c r="K280" s="107"/>
      <c r="L280" s="107"/>
      <c r="M280" s="107"/>
      <c r="N280" s="111" t="s">
        <v>206</v>
      </c>
      <c r="O280" s="107"/>
      <c r="P280" s="107"/>
      <c r="Q280" s="107"/>
      <c r="R280" s="107"/>
      <c r="S280" s="107"/>
      <c r="T280" s="107"/>
    </row>
    <row r="281" ht="12.75" customHeight="1">
      <c r="B281" s="107"/>
      <c r="C281" s="117" t="s">
        <v>569</v>
      </c>
      <c r="D281" s="109"/>
      <c r="E281" s="110">
        <v>1.0</v>
      </c>
      <c r="F281" s="110" t="s">
        <v>451</v>
      </c>
      <c r="G281" s="111" t="s">
        <v>559</v>
      </c>
      <c r="H281" s="111" t="s">
        <v>399</v>
      </c>
      <c r="I281" s="111" t="s">
        <v>246</v>
      </c>
      <c r="J281" s="107"/>
      <c r="K281" s="107"/>
      <c r="L281" s="107"/>
      <c r="M281" s="107"/>
      <c r="N281" s="111" t="s">
        <v>206</v>
      </c>
      <c r="O281" s="107"/>
      <c r="P281" s="107"/>
      <c r="Q281" s="107"/>
      <c r="R281" s="107"/>
      <c r="S281" s="107"/>
      <c r="T281" s="107"/>
    </row>
    <row r="282" ht="12.75" customHeight="1">
      <c r="B282" s="107"/>
      <c r="C282" s="117" t="s">
        <v>570</v>
      </c>
      <c r="D282" s="109"/>
      <c r="E282" s="110">
        <v>1.0</v>
      </c>
      <c r="F282" s="110" t="s">
        <v>451</v>
      </c>
      <c r="G282" s="111" t="s">
        <v>559</v>
      </c>
      <c r="H282" s="111" t="s">
        <v>399</v>
      </c>
      <c r="I282" s="111" t="s">
        <v>246</v>
      </c>
      <c r="J282" s="107"/>
      <c r="K282" s="107"/>
      <c r="L282" s="107"/>
      <c r="M282" s="107"/>
      <c r="N282" s="111" t="s">
        <v>206</v>
      </c>
      <c r="O282" s="107"/>
      <c r="P282" s="107"/>
      <c r="Q282" s="107"/>
      <c r="R282" s="107"/>
      <c r="S282" s="107"/>
      <c r="T282" s="107"/>
    </row>
    <row r="283" ht="12.75" customHeight="1">
      <c r="B283" s="107"/>
      <c r="C283" s="117" t="s">
        <v>571</v>
      </c>
      <c r="D283" s="109"/>
      <c r="E283" s="110">
        <v>1.0</v>
      </c>
      <c r="F283" s="110" t="s">
        <v>451</v>
      </c>
      <c r="G283" s="111" t="s">
        <v>559</v>
      </c>
      <c r="H283" s="111" t="s">
        <v>399</v>
      </c>
      <c r="I283" s="111" t="s">
        <v>246</v>
      </c>
      <c r="J283" s="107"/>
      <c r="K283" s="107"/>
      <c r="L283" s="107"/>
      <c r="M283" s="107"/>
      <c r="N283" s="111" t="s">
        <v>206</v>
      </c>
      <c r="O283" s="107"/>
      <c r="P283" s="107"/>
      <c r="Q283" s="107"/>
      <c r="R283" s="107"/>
      <c r="S283" s="107"/>
      <c r="T283" s="107"/>
    </row>
    <row r="284" ht="12.75" customHeight="1">
      <c r="B284" s="107"/>
      <c r="C284" s="117" t="s">
        <v>572</v>
      </c>
      <c r="D284" s="109"/>
      <c r="E284" s="110">
        <v>1.0</v>
      </c>
      <c r="F284" s="110" t="s">
        <v>451</v>
      </c>
      <c r="G284" s="111" t="s">
        <v>559</v>
      </c>
      <c r="H284" s="111" t="s">
        <v>399</v>
      </c>
      <c r="I284" s="111" t="s">
        <v>246</v>
      </c>
      <c r="J284" s="107"/>
      <c r="K284" s="107"/>
      <c r="L284" s="107"/>
      <c r="M284" s="107"/>
      <c r="N284" s="111" t="s">
        <v>206</v>
      </c>
      <c r="O284" s="107"/>
      <c r="P284" s="107"/>
      <c r="Q284" s="107"/>
      <c r="R284" s="107"/>
      <c r="S284" s="107"/>
      <c r="T284" s="107"/>
    </row>
    <row r="285" ht="12.75" customHeight="1">
      <c r="B285" s="107">
        <v>25.0</v>
      </c>
      <c r="C285" s="108" t="s">
        <v>573</v>
      </c>
      <c r="D285" s="109" t="s">
        <v>574</v>
      </c>
      <c r="E285" s="110">
        <v>1.0</v>
      </c>
      <c r="F285" s="110" t="s">
        <v>451</v>
      </c>
      <c r="G285" s="111" t="s">
        <v>559</v>
      </c>
      <c r="H285" s="111" t="s">
        <v>399</v>
      </c>
      <c r="I285" s="111" t="s">
        <v>246</v>
      </c>
      <c r="J285" s="107"/>
      <c r="K285" s="107"/>
      <c r="L285" s="107"/>
      <c r="M285" s="107"/>
      <c r="N285" s="111" t="s">
        <v>206</v>
      </c>
      <c r="O285" s="107"/>
      <c r="P285" s="107"/>
      <c r="Q285" s="107"/>
      <c r="R285" s="107"/>
      <c r="S285" s="107"/>
      <c r="T285" s="107"/>
    </row>
    <row r="286" ht="12.75" customHeight="1">
      <c r="B286" s="107"/>
      <c r="C286" s="117" t="s">
        <v>575</v>
      </c>
      <c r="D286" s="109"/>
      <c r="E286" s="110">
        <v>1.0</v>
      </c>
      <c r="F286" s="110" t="s">
        <v>451</v>
      </c>
      <c r="G286" s="111" t="s">
        <v>559</v>
      </c>
      <c r="H286" s="111" t="s">
        <v>399</v>
      </c>
      <c r="I286" s="111" t="s">
        <v>246</v>
      </c>
      <c r="J286" s="107"/>
      <c r="K286" s="107"/>
      <c r="L286" s="107"/>
      <c r="M286" s="107"/>
      <c r="N286" s="111" t="s">
        <v>206</v>
      </c>
      <c r="O286" s="107"/>
      <c r="P286" s="107"/>
      <c r="Q286" s="107"/>
      <c r="R286" s="107"/>
      <c r="S286" s="107"/>
      <c r="T286" s="107"/>
    </row>
    <row r="287" ht="12.75" customHeight="1">
      <c r="B287" s="107"/>
      <c r="C287" s="117" t="s">
        <v>576</v>
      </c>
      <c r="D287" s="109"/>
      <c r="E287" s="110">
        <v>1.0</v>
      </c>
      <c r="F287" s="110" t="s">
        <v>451</v>
      </c>
      <c r="G287" s="111" t="s">
        <v>559</v>
      </c>
      <c r="H287" s="111" t="s">
        <v>399</v>
      </c>
      <c r="I287" s="111" t="s">
        <v>246</v>
      </c>
      <c r="J287" s="107"/>
      <c r="K287" s="107"/>
      <c r="L287" s="107"/>
      <c r="M287" s="107"/>
      <c r="N287" s="111" t="s">
        <v>206</v>
      </c>
      <c r="O287" s="107"/>
      <c r="P287" s="107"/>
      <c r="Q287" s="107"/>
      <c r="R287" s="107"/>
      <c r="S287" s="107"/>
      <c r="T287" s="107"/>
    </row>
    <row r="288" ht="12.75" customHeight="1">
      <c r="B288" s="107">
        <v>26.0</v>
      </c>
      <c r="C288" s="108" t="s">
        <v>577</v>
      </c>
      <c r="D288" s="109"/>
      <c r="E288" s="110">
        <v>1.0</v>
      </c>
      <c r="F288" s="110" t="s">
        <v>451</v>
      </c>
      <c r="G288" s="111" t="s">
        <v>559</v>
      </c>
      <c r="H288" s="111" t="s">
        <v>578</v>
      </c>
      <c r="I288" s="111" t="s">
        <v>579</v>
      </c>
      <c r="J288" s="107"/>
      <c r="K288" s="107"/>
      <c r="L288" s="107"/>
      <c r="M288" s="107"/>
      <c r="N288" s="111" t="s">
        <v>206</v>
      </c>
      <c r="O288" s="107"/>
      <c r="P288" s="107"/>
      <c r="Q288" s="107"/>
      <c r="R288" s="107"/>
      <c r="S288" s="107"/>
      <c r="T288" s="107"/>
    </row>
    <row r="289" ht="12.75" customHeight="1">
      <c r="B289" s="107"/>
      <c r="C289" s="117" t="s">
        <v>580</v>
      </c>
      <c r="D289" s="109"/>
      <c r="E289" s="110">
        <v>1.0</v>
      </c>
      <c r="F289" s="110" t="s">
        <v>451</v>
      </c>
      <c r="G289" s="111" t="s">
        <v>559</v>
      </c>
      <c r="H289" s="111" t="s">
        <v>578</v>
      </c>
      <c r="I289" s="111" t="s">
        <v>579</v>
      </c>
      <c r="J289" s="107"/>
      <c r="K289" s="107"/>
      <c r="L289" s="107"/>
      <c r="M289" s="107"/>
      <c r="N289" s="111" t="s">
        <v>206</v>
      </c>
      <c r="O289" s="107"/>
      <c r="P289" s="107"/>
      <c r="Q289" s="107"/>
      <c r="R289" s="107"/>
      <c r="S289" s="107"/>
      <c r="T289" s="107"/>
    </row>
    <row r="290" ht="12.75" customHeight="1">
      <c r="B290" s="107"/>
      <c r="C290" s="117" t="s">
        <v>581</v>
      </c>
      <c r="D290" s="109"/>
      <c r="E290" s="110">
        <v>1.0</v>
      </c>
      <c r="F290" s="110" t="s">
        <v>451</v>
      </c>
      <c r="G290" s="111" t="s">
        <v>559</v>
      </c>
      <c r="H290" s="111" t="s">
        <v>578</v>
      </c>
      <c r="I290" s="111" t="s">
        <v>579</v>
      </c>
      <c r="J290" s="107"/>
      <c r="K290" s="107"/>
      <c r="L290" s="107"/>
      <c r="M290" s="107"/>
      <c r="N290" s="111" t="s">
        <v>206</v>
      </c>
      <c r="O290" s="107"/>
      <c r="P290" s="107"/>
      <c r="Q290" s="107"/>
      <c r="R290" s="107"/>
      <c r="S290" s="107"/>
      <c r="T290" s="107"/>
    </row>
    <row r="291" ht="12.75" customHeight="1">
      <c r="B291" s="107"/>
      <c r="C291" s="117" t="s">
        <v>582</v>
      </c>
      <c r="D291" s="109"/>
      <c r="E291" s="110">
        <v>1.0</v>
      </c>
      <c r="F291" s="110" t="s">
        <v>451</v>
      </c>
      <c r="G291" s="111" t="s">
        <v>559</v>
      </c>
      <c r="H291" s="111" t="s">
        <v>578</v>
      </c>
      <c r="I291" s="111" t="s">
        <v>579</v>
      </c>
      <c r="J291" s="107"/>
      <c r="K291" s="107"/>
      <c r="L291" s="107"/>
      <c r="M291" s="107"/>
      <c r="N291" s="111" t="s">
        <v>206</v>
      </c>
      <c r="O291" s="107"/>
      <c r="P291" s="107"/>
      <c r="Q291" s="107"/>
      <c r="R291" s="107"/>
      <c r="S291" s="107"/>
      <c r="T291" s="107"/>
    </row>
    <row r="292" ht="12.75" customHeight="1">
      <c r="B292" s="107"/>
      <c r="C292" s="117" t="s">
        <v>583</v>
      </c>
      <c r="D292" s="109" t="s">
        <v>584</v>
      </c>
      <c r="E292" s="110">
        <v>1.0</v>
      </c>
      <c r="F292" s="110" t="s">
        <v>451</v>
      </c>
      <c r="G292" s="111" t="s">
        <v>559</v>
      </c>
      <c r="H292" s="111" t="s">
        <v>578</v>
      </c>
      <c r="I292" s="111" t="s">
        <v>579</v>
      </c>
      <c r="J292" s="107"/>
      <c r="K292" s="107"/>
      <c r="L292" s="107"/>
      <c r="M292" s="107"/>
      <c r="N292" s="111" t="s">
        <v>206</v>
      </c>
      <c r="O292" s="107"/>
      <c r="P292" s="107"/>
      <c r="Q292" s="107"/>
      <c r="R292" s="107"/>
      <c r="S292" s="107"/>
      <c r="T292" s="107"/>
    </row>
    <row r="293" ht="12.75" customHeight="1">
      <c r="B293" s="107"/>
      <c r="C293" s="117" t="s">
        <v>585</v>
      </c>
      <c r="D293" s="109" t="s">
        <v>586</v>
      </c>
      <c r="E293" s="110">
        <v>1.0</v>
      </c>
      <c r="F293" s="110" t="s">
        <v>451</v>
      </c>
      <c r="G293" s="111" t="s">
        <v>559</v>
      </c>
      <c r="H293" s="111" t="s">
        <v>578</v>
      </c>
      <c r="I293" s="111" t="s">
        <v>579</v>
      </c>
      <c r="J293" s="107"/>
      <c r="K293" s="107"/>
      <c r="L293" s="107"/>
      <c r="M293" s="107"/>
      <c r="N293" s="111" t="s">
        <v>206</v>
      </c>
      <c r="O293" s="107"/>
      <c r="P293" s="107"/>
      <c r="Q293" s="107"/>
      <c r="R293" s="107"/>
      <c r="S293" s="107"/>
      <c r="T293" s="107"/>
    </row>
    <row r="294" ht="12.75" customHeight="1">
      <c r="B294" s="107"/>
      <c r="C294" s="117" t="s">
        <v>587</v>
      </c>
      <c r="D294" s="109" t="s">
        <v>588</v>
      </c>
      <c r="E294" s="110">
        <v>1.0</v>
      </c>
      <c r="F294" s="110" t="s">
        <v>451</v>
      </c>
      <c r="G294" s="111" t="s">
        <v>559</v>
      </c>
      <c r="H294" s="111" t="s">
        <v>578</v>
      </c>
      <c r="I294" s="111" t="s">
        <v>579</v>
      </c>
      <c r="J294" s="107"/>
      <c r="K294" s="107"/>
      <c r="L294" s="107"/>
      <c r="M294" s="107"/>
      <c r="N294" s="111" t="s">
        <v>206</v>
      </c>
      <c r="O294" s="107"/>
      <c r="P294" s="107"/>
      <c r="Q294" s="107"/>
      <c r="R294" s="107"/>
      <c r="S294" s="107"/>
      <c r="T294" s="107"/>
    </row>
    <row r="295" ht="12.75" customHeight="1">
      <c r="B295" s="107"/>
      <c r="C295" s="117" t="s">
        <v>589</v>
      </c>
      <c r="D295" s="109" t="s">
        <v>590</v>
      </c>
      <c r="E295" s="110">
        <v>1.0</v>
      </c>
      <c r="F295" s="110" t="s">
        <v>451</v>
      </c>
      <c r="G295" s="111" t="s">
        <v>559</v>
      </c>
      <c r="H295" s="111" t="s">
        <v>578</v>
      </c>
      <c r="I295" s="111" t="s">
        <v>579</v>
      </c>
      <c r="J295" s="107"/>
      <c r="K295" s="107"/>
      <c r="L295" s="107"/>
      <c r="M295" s="107"/>
      <c r="N295" s="111" t="s">
        <v>206</v>
      </c>
      <c r="O295" s="107"/>
      <c r="P295" s="107"/>
      <c r="Q295" s="107"/>
      <c r="R295" s="107"/>
      <c r="S295" s="107"/>
      <c r="T295" s="107"/>
    </row>
    <row r="296" ht="12.75" customHeight="1">
      <c r="B296" s="107"/>
      <c r="C296" s="117" t="s">
        <v>591</v>
      </c>
      <c r="D296" s="109"/>
      <c r="E296" s="110">
        <v>1.0</v>
      </c>
      <c r="F296" s="110" t="s">
        <v>451</v>
      </c>
      <c r="G296" s="111" t="s">
        <v>559</v>
      </c>
      <c r="H296" s="111" t="s">
        <v>578</v>
      </c>
      <c r="I296" s="111" t="s">
        <v>579</v>
      </c>
      <c r="J296" s="107"/>
      <c r="K296" s="107"/>
      <c r="L296" s="107"/>
      <c r="M296" s="107"/>
      <c r="N296" s="111" t="s">
        <v>206</v>
      </c>
      <c r="O296" s="107"/>
      <c r="P296" s="107"/>
      <c r="Q296" s="107"/>
      <c r="R296" s="107"/>
      <c r="S296" s="107"/>
      <c r="T296" s="107"/>
    </row>
    <row r="297" ht="12.75" customHeight="1">
      <c r="B297" s="107">
        <v>27.0</v>
      </c>
      <c r="C297" s="108" t="s">
        <v>592</v>
      </c>
      <c r="D297" s="109"/>
      <c r="E297" s="110">
        <v>1.0</v>
      </c>
      <c r="F297" s="110" t="s">
        <v>593</v>
      </c>
      <c r="G297" s="111" t="s">
        <v>594</v>
      </c>
      <c r="H297" s="111" t="s">
        <v>595</v>
      </c>
      <c r="I297" s="111" t="s">
        <v>518</v>
      </c>
      <c r="J297" s="107"/>
      <c r="K297" s="107"/>
      <c r="L297" s="107"/>
      <c r="M297" s="107"/>
      <c r="N297" s="111" t="s">
        <v>206</v>
      </c>
      <c r="O297" s="107"/>
      <c r="P297" s="107"/>
      <c r="Q297" s="107"/>
      <c r="R297" s="107"/>
      <c r="S297" s="107"/>
      <c r="T297" s="107"/>
    </row>
    <row r="298" ht="12.75" customHeight="1">
      <c r="B298" s="107"/>
      <c r="C298" s="117" t="s">
        <v>596</v>
      </c>
      <c r="D298" s="109"/>
      <c r="E298" s="110">
        <v>1.0</v>
      </c>
      <c r="F298" s="110" t="s">
        <v>593</v>
      </c>
      <c r="G298" s="111" t="s">
        <v>594</v>
      </c>
      <c r="H298" s="111" t="s">
        <v>595</v>
      </c>
      <c r="I298" s="111" t="s">
        <v>518</v>
      </c>
      <c r="J298" s="107"/>
      <c r="K298" s="107"/>
      <c r="L298" s="107"/>
      <c r="M298" s="107"/>
      <c r="N298" s="111" t="s">
        <v>206</v>
      </c>
      <c r="O298" s="107"/>
      <c r="P298" s="107"/>
      <c r="Q298" s="107"/>
      <c r="R298" s="107"/>
      <c r="S298" s="107"/>
      <c r="T298" s="107"/>
    </row>
    <row r="299" ht="12.75" customHeight="1">
      <c r="B299" s="107"/>
      <c r="C299" s="117" t="s">
        <v>597</v>
      </c>
      <c r="D299" s="109"/>
      <c r="E299" s="110">
        <v>1.0</v>
      </c>
      <c r="F299" s="110" t="s">
        <v>593</v>
      </c>
      <c r="G299" s="111" t="s">
        <v>594</v>
      </c>
      <c r="H299" s="111" t="s">
        <v>595</v>
      </c>
      <c r="I299" s="111" t="s">
        <v>518</v>
      </c>
      <c r="J299" s="107"/>
      <c r="K299" s="107"/>
      <c r="L299" s="107"/>
      <c r="M299" s="107"/>
      <c r="N299" s="111" t="s">
        <v>206</v>
      </c>
      <c r="O299" s="107"/>
      <c r="P299" s="107"/>
      <c r="Q299" s="107"/>
      <c r="R299" s="107"/>
      <c r="S299" s="107"/>
      <c r="T299" s="107"/>
    </row>
    <row r="300" ht="12.75" customHeight="1">
      <c r="B300" s="107"/>
      <c r="C300" s="117" t="s">
        <v>598</v>
      </c>
      <c r="D300" s="109"/>
      <c r="E300" s="110">
        <v>1.0</v>
      </c>
      <c r="F300" s="110" t="s">
        <v>593</v>
      </c>
      <c r="G300" s="111" t="s">
        <v>594</v>
      </c>
      <c r="H300" s="111" t="s">
        <v>595</v>
      </c>
      <c r="I300" s="111" t="s">
        <v>518</v>
      </c>
      <c r="J300" s="107"/>
      <c r="K300" s="107"/>
      <c r="L300" s="107"/>
      <c r="M300" s="107"/>
      <c r="N300" s="111" t="s">
        <v>206</v>
      </c>
      <c r="O300" s="107"/>
      <c r="P300" s="107"/>
      <c r="Q300" s="107"/>
      <c r="R300" s="107"/>
      <c r="S300" s="107"/>
      <c r="T300" s="107"/>
    </row>
    <row r="301" ht="12.75" customHeight="1">
      <c r="B301" s="107"/>
      <c r="C301" s="117" t="s">
        <v>599</v>
      </c>
      <c r="D301" s="109"/>
      <c r="E301" s="110">
        <v>1.0</v>
      </c>
      <c r="F301" s="110" t="s">
        <v>593</v>
      </c>
      <c r="G301" s="111" t="s">
        <v>594</v>
      </c>
      <c r="H301" s="111" t="s">
        <v>595</v>
      </c>
      <c r="I301" s="111" t="s">
        <v>518</v>
      </c>
      <c r="J301" s="107"/>
      <c r="K301" s="107"/>
      <c r="L301" s="107"/>
      <c r="M301" s="107"/>
      <c r="N301" s="111" t="s">
        <v>206</v>
      </c>
      <c r="O301" s="107"/>
      <c r="P301" s="107"/>
      <c r="Q301" s="107"/>
      <c r="R301" s="107"/>
      <c r="S301" s="107"/>
      <c r="T301" s="107"/>
    </row>
    <row r="302" ht="12.75" customHeight="1">
      <c r="B302" s="107"/>
      <c r="C302" s="117" t="s">
        <v>600</v>
      </c>
      <c r="D302" s="109"/>
      <c r="E302" s="110">
        <v>1.0</v>
      </c>
      <c r="F302" s="110" t="s">
        <v>593</v>
      </c>
      <c r="G302" s="111" t="s">
        <v>594</v>
      </c>
      <c r="H302" s="111" t="s">
        <v>595</v>
      </c>
      <c r="I302" s="111" t="s">
        <v>518</v>
      </c>
      <c r="J302" s="107"/>
      <c r="K302" s="107"/>
      <c r="L302" s="107"/>
      <c r="M302" s="107"/>
      <c r="N302" s="111" t="s">
        <v>206</v>
      </c>
      <c r="O302" s="107"/>
      <c r="P302" s="107"/>
      <c r="Q302" s="107"/>
      <c r="R302" s="107"/>
      <c r="S302" s="107"/>
      <c r="T302" s="107"/>
    </row>
    <row r="303" ht="12.75" customHeight="1">
      <c r="B303" s="107"/>
      <c r="C303" s="117" t="s">
        <v>601</v>
      </c>
      <c r="D303" s="109"/>
      <c r="E303" s="110">
        <v>1.0</v>
      </c>
      <c r="F303" s="110" t="s">
        <v>593</v>
      </c>
      <c r="G303" s="111" t="s">
        <v>594</v>
      </c>
      <c r="H303" s="111" t="s">
        <v>595</v>
      </c>
      <c r="I303" s="111" t="s">
        <v>518</v>
      </c>
      <c r="J303" s="107"/>
      <c r="K303" s="107"/>
      <c r="L303" s="107"/>
      <c r="M303" s="107"/>
      <c r="N303" s="111" t="s">
        <v>206</v>
      </c>
      <c r="O303" s="107"/>
      <c r="P303" s="107"/>
      <c r="Q303" s="107"/>
      <c r="R303" s="107"/>
      <c r="S303" s="107"/>
      <c r="T303" s="107"/>
    </row>
    <row r="304" ht="12.75" customHeight="1">
      <c r="B304" s="107"/>
      <c r="C304" s="117" t="s">
        <v>602</v>
      </c>
      <c r="D304" s="109"/>
      <c r="E304" s="110">
        <v>1.0</v>
      </c>
      <c r="F304" s="110" t="s">
        <v>593</v>
      </c>
      <c r="G304" s="111" t="s">
        <v>594</v>
      </c>
      <c r="H304" s="111" t="s">
        <v>595</v>
      </c>
      <c r="I304" s="111" t="s">
        <v>518</v>
      </c>
      <c r="J304" s="107"/>
      <c r="K304" s="107"/>
      <c r="L304" s="107"/>
      <c r="M304" s="107"/>
      <c r="N304" s="111" t="s">
        <v>206</v>
      </c>
      <c r="O304" s="107"/>
      <c r="P304" s="107"/>
      <c r="Q304" s="107"/>
      <c r="R304" s="107"/>
      <c r="S304" s="107"/>
      <c r="T304" s="107"/>
    </row>
    <row r="305" ht="12.75" customHeight="1">
      <c r="B305" s="107"/>
      <c r="C305" s="117" t="s">
        <v>603</v>
      </c>
      <c r="D305" s="109"/>
      <c r="E305" s="110">
        <v>1.0</v>
      </c>
      <c r="F305" s="110" t="s">
        <v>593</v>
      </c>
      <c r="G305" s="111" t="s">
        <v>594</v>
      </c>
      <c r="H305" s="111" t="s">
        <v>595</v>
      </c>
      <c r="I305" s="111" t="s">
        <v>518</v>
      </c>
      <c r="J305" s="107"/>
      <c r="K305" s="107"/>
      <c r="L305" s="107"/>
      <c r="M305" s="107"/>
      <c r="N305" s="111" t="s">
        <v>206</v>
      </c>
      <c r="O305" s="107"/>
      <c r="P305" s="107"/>
      <c r="Q305" s="107"/>
      <c r="R305" s="107"/>
      <c r="S305" s="107"/>
      <c r="T305" s="107"/>
    </row>
    <row r="306" ht="12.75" customHeight="1">
      <c r="B306" s="107">
        <v>28.0</v>
      </c>
      <c r="C306" s="108" t="s">
        <v>604</v>
      </c>
      <c r="D306" s="109" t="s">
        <v>605</v>
      </c>
      <c r="E306" s="110">
        <v>1.0</v>
      </c>
      <c r="F306" s="110" t="s">
        <v>606</v>
      </c>
      <c r="G306" s="111" t="s">
        <v>607</v>
      </c>
      <c r="H306" s="111" t="s">
        <v>608</v>
      </c>
      <c r="I306" s="111" t="s">
        <v>556</v>
      </c>
      <c r="J306" s="107"/>
      <c r="K306" s="107"/>
      <c r="L306" s="107"/>
      <c r="M306" s="107"/>
      <c r="N306" s="111" t="s">
        <v>206</v>
      </c>
      <c r="O306" s="107"/>
      <c r="P306" s="107"/>
      <c r="Q306" s="107"/>
      <c r="R306" s="107"/>
      <c r="S306" s="107"/>
      <c r="T306" s="107"/>
    </row>
    <row r="307" ht="12.75" customHeight="1">
      <c r="B307" s="107">
        <v>29.0</v>
      </c>
      <c r="C307" s="111" t="s">
        <v>609</v>
      </c>
      <c r="D307" s="109" t="s">
        <v>610</v>
      </c>
      <c r="E307" s="110" t="s">
        <v>315</v>
      </c>
      <c r="F307" s="110" t="s">
        <v>529</v>
      </c>
      <c r="G307" s="107"/>
      <c r="H307" s="107"/>
      <c r="I307" s="111" t="s">
        <v>532</v>
      </c>
      <c r="J307" s="107"/>
      <c r="K307" s="107"/>
      <c r="L307" s="107"/>
      <c r="M307" s="107"/>
      <c r="N307" s="111" t="s">
        <v>206</v>
      </c>
      <c r="O307" s="107"/>
      <c r="P307" s="107"/>
      <c r="Q307" s="107"/>
      <c r="R307" s="107"/>
      <c r="S307" s="107"/>
      <c r="T307" s="107"/>
    </row>
    <row r="308" ht="12.75" customHeight="1">
      <c r="B308" s="107">
        <v>30.0</v>
      </c>
      <c r="C308" s="111" t="s">
        <v>611</v>
      </c>
      <c r="D308" s="109"/>
      <c r="E308" s="110" t="s">
        <v>379</v>
      </c>
      <c r="F308" s="110" t="s">
        <v>612</v>
      </c>
      <c r="G308" s="107"/>
      <c r="H308" s="107"/>
      <c r="I308" s="111" t="s">
        <v>246</v>
      </c>
      <c r="J308" s="107"/>
      <c r="K308" s="107"/>
      <c r="L308" s="107"/>
      <c r="M308" s="107"/>
      <c r="N308" s="111" t="s">
        <v>206</v>
      </c>
      <c r="O308" s="107"/>
      <c r="P308" s="107"/>
      <c r="Q308" s="107"/>
      <c r="R308" s="107"/>
      <c r="S308" s="107"/>
      <c r="T308" s="107"/>
    </row>
    <row r="309" ht="12.75" customHeight="1">
      <c r="B309" s="107">
        <v>31.0</v>
      </c>
      <c r="C309" s="111" t="s">
        <v>613</v>
      </c>
      <c r="D309" s="109"/>
      <c r="E309" s="110"/>
      <c r="F309" s="110"/>
      <c r="G309" s="107"/>
      <c r="H309" s="107"/>
      <c r="I309" s="107"/>
      <c r="J309" s="107"/>
      <c r="K309" s="107"/>
      <c r="L309" s="107"/>
      <c r="M309" s="107"/>
      <c r="N309" s="111" t="s">
        <v>206</v>
      </c>
      <c r="O309" s="107"/>
      <c r="P309" s="107"/>
      <c r="Q309" s="107"/>
      <c r="R309" s="107"/>
      <c r="S309" s="107"/>
      <c r="T309" s="107"/>
    </row>
    <row r="310" ht="12.75" customHeight="1">
      <c r="B310" s="107">
        <v>32.0</v>
      </c>
      <c r="C310" s="111" t="s">
        <v>614</v>
      </c>
      <c r="D310" s="109"/>
      <c r="E310" s="110"/>
      <c r="F310" s="110"/>
      <c r="G310" s="107"/>
      <c r="H310" s="107"/>
      <c r="I310" s="107"/>
      <c r="J310" s="107"/>
      <c r="K310" s="107"/>
      <c r="L310" s="107"/>
      <c r="M310" s="107"/>
      <c r="N310" s="111" t="s">
        <v>206</v>
      </c>
      <c r="O310" s="107"/>
      <c r="P310" s="107"/>
      <c r="Q310" s="107"/>
      <c r="R310" s="107"/>
      <c r="S310" s="107"/>
      <c r="T310" s="107"/>
    </row>
    <row r="311" ht="12.75" customHeight="1">
      <c r="B311" s="107"/>
      <c r="C311" s="111" t="s">
        <v>614</v>
      </c>
      <c r="D311" s="109"/>
      <c r="E311" s="110"/>
      <c r="F311" s="110"/>
      <c r="G311" s="107"/>
      <c r="H311" s="107"/>
      <c r="I311" s="107"/>
      <c r="J311" s="107"/>
      <c r="K311" s="107"/>
      <c r="L311" s="107"/>
      <c r="M311" s="107"/>
      <c r="N311" s="107"/>
      <c r="O311" s="107"/>
      <c r="P311" s="107"/>
      <c r="Q311" s="107"/>
      <c r="R311" s="107"/>
      <c r="S311" s="107"/>
      <c r="T311" s="107"/>
    </row>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W14:W16"/>
    <mergeCell ref="X14:X16"/>
    <mergeCell ref="W18:W20"/>
    <mergeCell ref="X18:X20"/>
  </mergeCells>
  <printOptions/>
  <pageMargins bottom="1.0" footer="0.0" header="0.0" left="0.75" right="0.75" top="1.0"/>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50.13"/>
    <col customWidth="1" min="3" max="3" width="1.25"/>
    <col customWidth="1" min="4" max="4" width="4.38"/>
    <col customWidth="1" min="5" max="6" width="12.5"/>
    <col customWidth="1" min="7" max="26" width="8.63"/>
  </cols>
  <sheetData>
    <row r="1" ht="12.75" customHeight="1">
      <c r="B1" s="121" t="s">
        <v>615</v>
      </c>
      <c r="C1" s="121"/>
      <c r="D1" s="122"/>
      <c r="E1" s="122"/>
      <c r="F1" s="122"/>
    </row>
    <row r="2" ht="12.75" customHeight="1">
      <c r="B2" s="121" t="s">
        <v>616</v>
      </c>
      <c r="C2" s="121"/>
      <c r="D2" s="122"/>
      <c r="E2" s="122"/>
      <c r="F2" s="122"/>
    </row>
    <row r="3" ht="12.75" customHeight="1">
      <c r="B3" s="123"/>
      <c r="C3" s="123"/>
      <c r="D3" s="124"/>
      <c r="E3" s="124"/>
      <c r="F3" s="124"/>
    </row>
    <row r="4" ht="12.75" customHeight="1">
      <c r="B4" s="123" t="s">
        <v>617</v>
      </c>
      <c r="C4" s="123"/>
      <c r="D4" s="124"/>
      <c r="E4" s="124"/>
      <c r="F4" s="124"/>
    </row>
    <row r="5" ht="12.75" customHeight="1">
      <c r="B5" s="123"/>
      <c r="C5" s="123"/>
      <c r="D5" s="124"/>
      <c r="E5" s="124"/>
      <c r="F5" s="124"/>
    </row>
    <row r="6" ht="12.75" customHeight="1">
      <c r="B6" s="121" t="s">
        <v>618</v>
      </c>
      <c r="C6" s="121"/>
      <c r="D6" s="122"/>
      <c r="E6" s="122" t="s">
        <v>619</v>
      </c>
      <c r="F6" s="122" t="s">
        <v>620</v>
      </c>
    </row>
    <row r="7" ht="12.75" customHeight="1">
      <c r="B7" s="123"/>
      <c r="C7" s="123"/>
      <c r="D7" s="124"/>
      <c r="E7" s="124"/>
      <c r="F7" s="124"/>
    </row>
    <row r="8" ht="12.75" customHeight="1">
      <c r="B8" s="125" t="s">
        <v>621</v>
      </c>
      <c r="C8" s="126"/>
      <c r="D8" s="127"/>
      <c r="E8" s="127">
        <v>1.0</v>
      </c>
      <c r="F8" s="128"/>
    </row>
    <row r="9" ht="12.75" customHeight="1">
      <c r="B9" s="129"/>
      <c r="C9" s="130"/>
      <c r="D9" s="131"/>
      <c r="E9" s="132" t="s">
        <v>622</v>
      </c>
      <c r="F9" s="133" t="s">
        <v>623</v>
      </c>
    </row>
    <row r="10" ht="12.75" customHeight="1">
      <c r="B10" s="123"/>
      <c r="C10" s="123"/>
      <c r="D10" s="124"/>
      <c r="E10" s="124"/>
      <c r="F10" s="124"/>
    </row>
    <row r="11" ht="12.75" customHeight="1">
      <c r="B11" s="123"/>
      <c r="C11" s="123"/>
      <c r="D11" s="124"/>
      <c r="E11" s="124"/>
      <c r="F11" s="124"/>
    </row>
    <row r="12" ht="12.75" customHeight="1">
      <c r="B12" s="121" t="s">
        <v>624</v>
      </c>
      <c r="C12" s="121"/>
      <c r="D12" s="122"/>
      <c r="E12" s="122"/>
      <c r="F12" s="122"/>
    </row>
    <row r="13" ht="12.75" customHeight="1">
      <c r="B13" s="123"/>
      <c r="C13" s="123"/>
      <c r="D13" s="124"/>
      <c r="E13" s="124"/>
      <c r="F13" s="124"/>
    </row>
    <row r="14" ht="12.75" customHeight="1">
      <c r="B14" s="125" t="s">
        <v>625</v>
      </c>
      <c r="C14" s="126"/>
      <c r="D14" s="127"/>
      <c r="E14" s="127">
        <v>1.0</v>
      </c>
      <c r="F14" s="128"/>
    </row>
    <row r="15" ht="12.75" customHeight="1">
      <c r="B15" s="129"/>
      <c r="C15" s="130"/>
      <c r="D15" s="131"/>
      <c r="E15" s="132" t="s">
        <v>626</v>
      </c>
      <c r="F15" s="133" t="s">
        <v>623</v>
      </c>
    </row>
    <row r="16" ht="12.75" customHeight="1">
      <c r="B16" s="123"/>
      <c r="C16" s="123"/>
      <c r="D16" s="124"/>
      <c r="E16" s="124"/>
      <c r="F16" s="124"/>
    </row>
    <row r="17" ht="12.75" customHeight="1">
      <c r="B17" s="134" t="s">
        <v>627</v>
      </c>
      <c r="C17" s="135"/>
      <c r="D17" s="136"/>
      <c r="E17" s="136">
        <v>14.0</v>
      </c>
      <c r="F17" s="137" t="s">
        <v>623</v>
      </c>
    </row>
    <row r="18" ht="12.75" customHeight="1">
      <c r="B18" s="123"/>
      <c r="C18" s="123"/>
      <c r="D18" s="124"/>
      <c r="E18" s="124"/>
      <c r="F18" s="12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KIP List'!B4:X311" location="'KIP List'!B4:X311" ref="E9"/>
    <hyperlink display="'KIP List'!B10:T311" location="'KIP List'!B10:T311" ref="E15"/>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2018-10-29T20:57:45Z</dcterms:created>
  <dc:creator>jcramer@uw.edu</dc:creator>
</cp:coreProperties>
</file>